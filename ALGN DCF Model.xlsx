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sk\Downloads\"/>
    </mc:Choice>
  </mc:AlternateContent>
  <xr:revisionPtr revIDLastSave="0" documentId="13_ncr:1_{4AC6989C-4AD1-4277-AE59-878EB5F5BA17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ALGN(IS)" sheetId="2" r:id="rId1"/>
    <sheet name="ALGN(BS_Annual)" sheetId="3" r:id="rId2"/>
    <sheet name="ALGN(CF)" sheetId="4" r:id="rId3"/>
    <sheet name="ALGN(BS)" sheetId="5" r:id="rId4"/>
    <sheet name="DCF" sheetId="6" r:id="rId5"/>
    <sheet name="Credit" sheetId="7" r:id="rId6"/>
    <sheet name="FRED Graph" sheetId="8" r:id="rId7"/>
    <sheet name="gg" sheetId="10" r:id="rId8"/>
    <sheet name="div" sheetId="11" r:id="rId9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79" i="6" l="1"/>
  <c r="AD78" i="6"/>
  <c r="AD77" i="6"/>
  <c r="T75" i="6"/>
  <c r="AG58" i="6"/>
  <c r="U49" i="6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S51" i="6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T26" i="10"/>
  <c r="T25" i="10"/>
  <c r="T24" i="10"/>
  <c r="S29" i="10"/>
  <c r="R29" i="10" s="1"/>
  <c r="Q29" i="10" s="1"/>
  <c r="P29" i="10" s="1"/>
  <c r="O29" i="10" s="1"/>
  <c r="U29" i="10"/>
  <c r="V29" i="10" s="1"/>
  <c r="W29" i="10" s="1"/>
  <c r="X29" i="10" s="1"/>
  <c r="Y29" i="10" s="1"/>
  <c r="Z29" i="10" s="1"/>
  <c r="AC46" i="6"/>
  <c r="AG24" i="6"/>
  <c r="R26" i="6"/>
  <c r="R27" i="6"/>
  <c r="R28" i="6"/>
  <c r="R30" i="6"/>
  <c r="AA17" i="6"/>
  <c r="AD16" i="6"/>
  <c r="AD15" i="6"/>
  <c r="AD14" i="6"/>
  <c r="S32" i="6"/>
  <c r="R32" i="6" s="1"/>
  <c r="S31" i="6"/>
  <c r="R31" i="6" s="1"/>
  <c r="S28" i="6"/>
  <c r="S27" i="6" s="1"/>
  <c r="S26" i="6" s="1"/>
  <c r="S25" i="6" s="1"/>
  <c r="S24" i="6" s="1"/>
  <c r="S23" i="6" s="1"/>
  <c r="S22" i="6" s="1"/>
  <c r="S21" i="6" s="1"/>
  <c r="S20" i="6" s="1"/>
  <c r="S19" i="6" s="1"/>
  <c r="R19" i="6" s="1"/>
  <c r="S29" i="6"/>
  <c r="R29" i="6" s="1"/>
  <c r="Y18" i="6"/>
  <c r="X18" i="6" s="1"/>
  <c r="W18" i="6" s="1"/>
  <c r="V18" i="6" s="1"/>
  <c r="U18" i="6" s="1"/>
  <c r="T18" i="6" s="1"/>
  <c r="Z18" i="6"/>
  <c r="Z17" i="6" s="1"/>
  <c r="AB18" i="6"/>
  <c r="AC18" i="6" s="1"/>
  <c r="L61" i="6"/>
  <c r="L62" i="6" s="1"/>
  <c r="AD18" i="6" l="1"/>
  <c r="AE18" i="6" s="1"/>
  <c r="AF18" i="6" s="1"/>
  <c r="AC17" i="6"/>
  <c r="AB17" i="6"/>
  <c r="R24" i="6"/>
  <c r="R25" i="6"/>
  <c r="R23" i="6"/>
  <c r="R22" i="6"/>
  <c r="R21" i="6"/>
  <c r="Y17" i="6"/>
  <c r="R20" i="6"/>
  <c r="S33" i="6"/>
  <c r="N42" i="10"/>
  <c r="N41" i="10" s="1"/>
  <c r="N40" i="10" s="1"/>
  <c r="N39" i="10" s="1"/>
  <c r="N38" i="10" s="1"/>
  <c r="N37" i="10" s="1"/>
  <c r="N36" i="10" s="1"/>
  <c r="N35" i="10" s="1"/>
  <c r="N34" i="10" s="1"/>
  <c r="N33" i="10" s="1"/>
  <c r="N32" i="10" s="1"/>
  <c r="N31" i="10" s="1"/>
  <c r="N30" i="10" s="1"/>
  <c r="N44" i="10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R33" i="6" l="1"/>
  <c r="S34" i="6"/>
  <c r="R36" i="11"/>
  <c r="R40" i="11" s="1"/>
  <c r="J39" i="10"/>
  <c r="N6" i="10"/>
  <c r="K22" i="10" s="1"/>
  <c r="N7" i="10"/>
  <c r="K23" i="10" s="1"/>
  <c r="N8" i="10"/>
  <c r="K24" i="10" s="1"/>
  <c r="N9" i="10"/>
  <c r="K25" i="10" s="1"/>
  <c r="N10" i="10"/>
  <c r="K26" i="10" s="1"/>
  <c r="N11" i="10"/>
  <c r="K27" i="10" s="1"/>
  <c r="N12" i="10"/>
  <c r="K28" i="10" s="1"/>
  <c r="N13" i="10"/>
  <c r="K29" i="10" s="1"/>
  <c r="N14" i="10"/>
  <c r="K30" i="10" s="1"/>
  <c r="N15" i="10"/>
  <c r="K31" i="10" s="1"/>
  <c r="N16" i="10"/>
  <c r="K32" i="10" s="1"/>
  <c r="N5" i="10"/>
  <c r="F23" i="10"/>
  <c r="F24" i="10"/>
  <c r="F25" i="10"/>
  <c r="F26" i="10"/>
  <c r="F27" i="10"/>
  <c r="F28" i="10"/>
  <c r="F29" i="10"/>
  <c r="F30" i="10"/>
  <c r="F31" i="10"/>
  <c r="F32" i="10"/>
  <c r="F22" i="10"/>
  <c r="I23" i="10"/>
  <c r="I24" i="10"/>
  <c r="I25" i="10"/>
  <c r="I26" i="10"/>
  <c r="I27" i="10"/>
  <c r="I28" i="10"/>
  <c r="I29" i="10"/>
  <c r="I30" i="10"/>
  <c r="I31" i="10"/>
  <c r="I32" i="10"/>
  <c r="I22" i="10"/>
  <c r="J37" i="10" s="1"/>
  <c r="H31" i="10"/>
  <c r="J31" i="10" s="1"/>
  <c r="G23" i="10"/>
  <c r="G24" i="10"/>
  <c r="G25" i="10"/>
  <c r="G26" i="10"/>
  <c r="G27" i="10"/>
  <c r="G28" i="10"/>
  <c r="G29" i="10"/>
  <c r="G30" i="10"/>
  <c r="G31" i="10"/>
  <c r="G32" i="10"/>
  <c r="G22" i="10"/>
  <c r="J40" i="10" s="1"/>
  <c r="E25" i="10"/>
  <c r="H25" i="10" s="1"/>
  <c r="J25" i="10" s="1"/>
  <c r="E26" i="10"/>
  <c r="E27" i="10"/>
  <c r="E31" i="10"/>
  <c r="C32" i="10"/>
  <c r="E32" i="10" s="1"/>
  <c r="D32" i="10"/>
  <c r="D22" i="10"/>
  <c r="J42" i="10" s="1"/>
  <c r="C23" i="10"/>
  <c r="E23" i="10" s="1"/>
  <c r="H23" i="10" s="1"/>
  <c r="J23" i="10" s="1"/>
  <c r="D23" i="10"/>
  <c r="C24" i="10"/>
  <c r="E24" i="10" s="1"/>
  <c r="D24" i="10"/>
  <c r="C25" i="10"/>
  <c r="D25" i="10"/>
  <c r="C26" i="10"/>
  <c r="D26" i="10"/>
  <c r="C27" i="10"/>
  <c r="D27" i="10"/>
  <c r="C28" i="10"/>
  <c r="E28" i="10" s="1"/>
  <c r="D28" i="10"/>
  <c r="C29" i="10"/>
  <c r="E29" i="10" s="1"/>
  <c r="D29" i="10"/>
  <c r="C30" i="10"/>
  <c r="E30" i="10" s="1"/>
  <c r="D30" i="10"/>
  <c r="C31" i="10"/>
  <c r="D31" i="10"/>
  <c r="M31" i="11"/>
  <c r="Q30" i="11" s="1"/>
  <c r="M29" i="11"/>
  <c r="Q29" i="11" s="1"/>
  <c r="Q31" i="11" s="1"/>
  <c r="L31" i="11"/>
  <c r="K31" i="11"/>
  <c r="J31" i="11"/>
  <c r="I31" i="11"/>
  <c r="N31" i="11" s="1"/>
  <c r="J29" i="11"/>
  <c r="N29" i="11" s="1"/>
  <c r="K29" i="11"/>
  <c r="L29" i="11"/>
  <c r="I29" i="11"/>
  <c r="K34" i="10" l="1"/>
  <c r="H26" i="10"/>
  <c r="J26" i="10" s="1"/>
  <c r="H28" i="10"/>
  <c r="J28" i="10" s="1"/>
  <c r="H27" i="10"/>
  <c r="J27" i="10" s="1"/>
  <c r="E22" i="10"/>
  <c r="H22" i="10" s="1"/>
  <c r="J22" i="10" s="1"/>
  <c r="H24" i="10"/>
  <c r="J24" i="10" s="1"/>
  <c r="J35" i="10" s="1"/>
  <c r="J38" i="10" s="1"/>
  <c r="J41" i="10" s="1"/>
  <c r="J43" i="10" s="1"/>
  <c r="N29" i="10" s="1"/>
  <c r="H32" i="10"/>
  <c r="J32" i="10" s="1"/>
  <c r="H30" i="10"/>
  <c r="J30" i="10" s="1"/>
  <c r="S35" i="6"/>
  <c r="R34" i="6"/>
  <c r="H29" i="10"/>
  <c r="J29" i="10" s="1"/>
  <c r="R37" i="11"/>
  <c r="S34" i="11"/>
  <c r="T34" i="11" s="1"/>
  <c r="U34" i="11" s="1"/>
  <c r="V34" i="11" s="1"/>
  <c r="N67" i="7"/>
  <c r="M67" i="7"/>
  <c r="L67" i="7"/>
  <c r="K67" i="7"/>
  <c r="J67" i="7"/>
  <c r="I67" i="7"/>
  <c r="H67" i="7"/>
  <c r="G67" i="7"/>
  <c r="F67" i="7"/>
  <c r="G66" i="7"/>
  <c r="N65" i="7"/>
  <c r="H65" i="7"/>
  <c r="G65" i="7"/>
  <c r="N64" i="7"/>
  <c r="M64" i="7"/>
  <c r="L64" i="7"/>
  <c r="K64" i="7"/>
  <c r="J64" i="7"/>
  <c r="I64" i="7"/>
  <c r="H64" i="7"/>
  <c r="G64" i="7"/>
  <c r="F64" i="7"/>
  <c r="K63" i="7"/>
  <c r="J63" i="7"/>
  <c r="N59" i="7"/>
  <c r="M59" i="7"/>
  <c r="L59" i="7"/>
  <c r="K59" i="7"/>
  <c r="J59" i="7"/>
  <c r="I59" i="7"/>
  <c r="H59" i="7"/>
  <c r="G59" i="7"/>
  <c r="F59" i="7"/>
  <c r="G55" i="7"/>
  <c r="H55" i="7"/>
  <c r="I55" i="7"/>
  <c r="J55" i="7"/>
  <c r="K55" i="7"/>
  <c r="L55" i="7"/>
  <c r="M55" i="7"/>
  <c r="N55" i="7"/>
  <c r="N60" i="7" s="1"/>
  <c r="F55" i="7"/>
  <c r="M12" i="8"/>
  <c r="L12" i="8"/>
  <c r="K12" i="8"/>
  <c r="J12" i="8"/>
  <c r="I12" i="8"/>
  <c r="H12" i="8"/>
  <c r="G12" i="8"/>
  <c r="F12" i="8"/>
  <c r="E12" i="8"/>
  <c r="D12" i="8"/>
  <c r="C12" i="8"/>
  <c r="G27" i="7"/>
  <c r="H27" i="7"/>
  <c r="I27" i="7"/>
  <c r="J27" i="7"/>
  <c r="K27" i="7"/>
  <c r="L27" i="7"/>
  <c r="M27" i="7"/>
  <c r="N27" i="7"/>
  <c r="F27" i="7"/>
  <c r="G1" i="7"/>
  <c r="G50" i="7" s="1"/>
  <c r="H1" i="7"/>
  <c r="H50" i="7" s="1"/>
  <c r="H63" i="7" s="1"/>
  <c r="I1" i="7"/>
  <c r="I50" i="7" s="1"/>
  <c r="I63" i="7" s="1"/>
  <c r="J1" i="7"/>
  <c r="J50" i="7" s="1"/>
  <c r="K1" i="7"/>
  <c r="K50" i="7" s="1"/>
  <c r="L1" i="7"/>
  <c r="L50" i="7" s="1"/>
  <c r="M1" i="7"/>
  <c r="M50" i="7" s="1"/>
  <c r="N1" i="7"/>
  <c r="N50" i="7" s="1"/>
  <c r="G2" i="7"/>
  <c r="G46" i="7" s="1"/>
  <c r="G60" i="7" s="1"/>
  <c r="H2" i="7"/>
  <c r="H46" i="7" s="1"/>
  <c r="H60" i="7" s="1"/>
  <c r="I2" i="7"/>
  <c r="I46" i="7" s="1"/>
  <c r="I60" i="7" s="1"/>
  <c r="J2" i="7"/>
  <c r="J46" i="7" s="1"/>
  <c r="J60" i="7" s="1"/>
  <c r="K2" i="7"/>
  <c r="K46" i="7" s="1"/>
  <c r="K60" i="7" s="1"/>
  <c r="L2" i="7"/>
  <c r="L46" i="7" s="1"/>
  <c r="L60" i="7" s="1"/>
  <c r="M2" i="7"/>
  <c r="N2" i="7"/>
  <c r="N46" i="7" s="1"/>
  <c r="G3" i="7"/>
  <c r="G49" i="7" s="1"/>
  <c r="G63" i="7" s="1"/>
  <c r="H3" i="7"/>
  <c r="H49" i="7" s="1"/>
  <c r="I3" i="7"/>
  <c r="I49" i="7" s="1"/>
  <c r="J3" i="7"/>
  <c r="J49" i="7" s="1"/>
  <c r="K3" i="7"/>
  <c r="K49" i="7" s="1"/>
  <c r="L3" i="7"/>
  <c r="L49" i="7" s="1"/>
  <c r="M3" i="7"/>
  <c r="M49" i="7" s="1"/>
  <c r="N3" i="7"/>
  <c r="N49" i="7" s="1"/>
  <c r="N63" i="7" s="1"/>
  <c r="G4" i="7"/>
  <c r="G47" i="7" s="1"/>
  <c r="G61" i="7" s="1"/>
  <c r="H4" i="7"/>
  <c r="H47" i="7" s="1"/>
  <c r="H66" i="7" s="1"/>
  <c r="I4" i="7"/>
  <c r="I47" i="7" s="1"/>
  <c r="I61" i="7" s="1"/>
  <c r="J4" i="7"/>
  <c r="J28" i="7" s="1"/>
  <c r="K4" i="7"/>
  <c r="K47" i="7" s="1"/>
  <c r="K61" i="7" s="1"/>
  <c r="L4" i="7"/>
  <c r="L47" i="7" s="1"/>
  <c r="M4" i="7"/>
  <c r="M47" i="7" s="1"/>
  <c r="N4" i="7"/>
  <c r="N28" i="7" s="1"/>
  <c r="G5" i="7"/>
  <c r="G26" i="7" s="1"/>
  <c r="H5" i="7"/>
  <c r="H26" i="7" s="1"/>
  <c r="I5" i="7"/>
  <c r="I26" i="7" s="1"/>
  <c r="J5" i="7"/>
  <c r="J26" i="7" s="1"/>
  <c r="K5" i="7"/>
  <c r="K26" i="7" s="1"/>
  <c r="L5" i="7"/>
  <c r="L26" i="7" s="1"/>
  <c r="M5" i="7"/>
  <c r="M26" i="7" s="1"/>
  <c r="N5" i="7"/>
  <c r="N26" i="7" s="1"/>
  <c r="G7" i="7"/>
  <c r="G30" i="7" s="1"/>
  <c r="H7" i="7"/>
  <c r="H30" i="7" s="1"/>
  <c r="I7" i="7"/>
  <c r="I30" i="7" s="1"/>
  <c r="J7" i="7"/>
  <c r="J30" i="7" s="1"/>
  <c r="K7" i="7"/>
  <c r="K30" i="7" s="1"/>
  <c r="L7" i="7"/>
  <c r="L30" i="7" s="1"/>
  <c r="M7" i="7"/>
  <c r="M30" i="7" s="1"/>
  <c r="N7" i="7"/>
  <c r="N30" i="7" s="1"/>
  <c r="G8" i="7"/>
  <c r="G20" i="7" s="1"/>
  <c r="H8" i="7"/>
  <c r="H20" i="7" s="1"/>
  <c r="I8" i="7"/>
  <c r="I20" i="7" s="1"/>
  <c r="J8" i="7"/>
  <c r="J20" i="7" s="1"/>
  <c r="K8" i="7"/>
  <c r="K20" i="7" s="1"/>
  <c r="L8" i="7"/>
  <c r="L20" i="7" s="1"/>
  <c r="M8" i="7"/>
  <c r="M20" i="7" s="1"/>
  <c r="N8" i="7"/>
  <c r="N20" i="7" s="1"/>
  <c r="G9" i="7"/>
  <c r="G22" i="7" s="1"/>
  <c r="H9" i="7"/>
  <c r="H22" i="7" s="1"/>
  <c r="I9" i="7"/>
  <c r="I22" i="7" s="1"/>
  <c r="J9" i="7"/>
  <c r="J22" i="7" s="1"/>
  <c r="K9" i="7"/>
  <c r="K22" i="7" s="1"/>
  <c r="L9" i="7"/>
  <c r="L22" i="7" s="1"/>
  <c r="M9" i="7"/>
  <c r="M22" i="7" s="1"/>
  <c r="N9" i="7"/>
  <c r="N22" i="7" s="1"/>
  <c r="G10" i="7"/>
  <c r="H10" i="7"/>
  <c r="I10" i="7"/>
  <c r="J10" i="7"/>
  <c r="K10" i="7"/>
  <c r="L10" i="7"/>
  <c r="M10" i="7"/>
  <c r="N10" i="7"/>
  <c r="G11" i="7"/>
  <c r="G24" i="7" s="1"/>
  <c r="H11" i="7"/>
  <c r="H24" i="7" s="1"/>
  <c r="I11" i="7"/>
  <c r="I24" i="7" s="1"/>
  <c r="J11" i="7"/>
  <c r="J24" i="7" s="1"/>
  <c r="K11" i="7"/>
  <c r="K24" i="7" s="1"/>
  <c r="L11" i="7"/>
  <c r="L24" i="7" s="1"/>
  <c r="M11" i="7"/>
  <c r="M24" i="7" s="1"/>
  <c r="N11" i="7"/>
  <c r="N24" i="7" s="1"/>
  <c r="G12" i="7"/>
  <c r="G52" i="7" s="1"/>
  <c r="G68" i="7" s="1"/>
  <c r="H12" i="7"/>
  <c r="H52" i="7" s="1"/>
  <c r="H68" i="7" s="1"/>
  <c r="I12" i="7"/>
  <c r="I52" i="7" s="1"/>
  <c r="I68" i="7" s="1"/>
  <c r="J12" i="7"/>
  <c r="J52" i="7" s="1"/>
  <c r="J68" i="7" s="1"/>
  <c r="K12" i="7"/>
  <c r="K52" i="7" s="1"/>
  <c r="K68" i="7" s="1"/>
  <c r="L12" i="7"/>
  <c r="L52" i="7" s="1"/>
  <c r="L68" i="7" s="1"/>
  <c r="M12" i="7"/>
  <c r="M52" i="7" s="1"/>
  <c r="N12" i="7"/>
  <c r="N52" i="7" s="1"/>
  <c r="G13" i="7"/>
  <c r="G53" i="7" s="1"/>
  <c r="H13" i="7"/>
  <c r="H53" i="7" s="1"/>
  <c r="I13" i="7"/>
  <c r="I53" i="7" s="1"/>
  <c r="J13" i="7"/>
  <c r="J53" i="7" s="1"/>
  <c r="K13" i="7"/>
  <c r="K53" i="7" s="1"/>
  <c r="L13" i="7"/>
  <c r="L53" i="7" s="1"/>
  <c r="L66" i="7" s="1"/>
  <c r="M13" i="7"/>
  <c r="M53" i="7" s="1"/>
  <c r="M66" i="7" s="1"/>
  <c r="N13" i="7"/>
  <c r="N53" i="7" s="1"/>
  <c r="F13" i="7"/>
  <c r="F53" i="7" s="1"/>
  <c r="F66" i="7" s="1"/>
  <c r="F12" i="7"/>
  <c r="F52" i="7" s="1"/>
  <c r="F11" i="7"/>
  <c r="F24" i="7" s="1"/>
  <c r="F10" i="7"/>
  <c r="F9" i="7"/>
  <c r="F22" i="7" s="1"/>
  <c r="F8" i="7"/>
  <c r="F20" i="7" s="1"/>
  <c r="F7" i="7"/>
  <c r="F30" i="7" s="1"/>
  <c r="F5" i="7"/>
  <c r="F26" i="7" s="1"/>
  <c r="F3" i="7"/>
  <c r="F49" i="7" s="1"/>
  <c r="F4" i="7"/>
  <c r="F47" i="7" s="1"/>
  <c r="F2" i="7"/>
  <c r="F17" i="7" s="1"/>
  <c r="F1" i="7"/>
  <c r="F50" i="7" s="1"/>
  <c r="F63" i="7" l="1"/>
  <c r="M61" i="7"/>
  <c r="M68" i="7"/>
  <c r="N68" i="7"/>
  <c r="K66" i="7"/>
  <c r="J65" i="7"/>
  <c r="I66" i="7"/>
  <c r="H61" i="7"/>
  <c r="I65" i="7"/>
  <c r="F68" i="7"/>
  <c r="S36" i="6"/>
  <c r="R35" i="6"/>
  <c r="L63" i="7"/>
  <c r="K65" i="7"/>
  <c r="L61" i="7"/>
  <c r="L65" i="7"/>
  <c r="J34" i="10"/>
  <c r="F23" i="7"/>
  <c r="F35" i="7" s="1"/>
  <c r="G28" i="7"/>
  <c r="G29" i="7" s="1"/>
  <c r="G36" i="7" s="1"/>
  <c r="G14" i="7"/>
  <c r="G48" i="7" s="1"/>
  <c r="G62" i="7" s="1"/>
  <c r="G70" i="7" s="1"/>
  <c r="G72" i="7" s="1"/>
  <c r="H17" i="7"/>
  <c r="H25" i="7" s="1"/>
  <c r="N47" i="7"/>
  <c r="N61" i="7" s="1"/>
  <c r="M14" i="7"/>
  <c r="M18" i="7" s="1"/>
  <c r="K14" i="7"/>
  <c r="K48" i="7" s="1"/>
  <c r="K62" i="7" s="1"/>
  <c r="K70" i="7" s="1"/>
  <c r="K72" i="7" s="1"/>
  <c r="K28" i="7"/>
  <c r="K29" i="7" s="1"/>
  <c r="K36" i="7" s="1"/>
  <c r="G17" i="7"/>
  <c r="G25" i="7" s="1"/>
  <c r="J47" i="7"/>
  <c r="F28" i="7"/>
  <c r="F29" i="7" s="1"/>
  <c r="F36" i="7" s="1"/>
  <c r="K17" i="7"/>
  <c r="K31" i="7" s="1"/>
  <c r="K37" i="7" s="1"/>
  <c r="F31" i="7"/>
  <c r="F37" i="7" s="1"/>
  <c r="F25" i="7"/>
  <c r="F21" i="7"/>
  <c r="F34" i="7" s="1"/>
  <c r="I28" i="7"/>
  <c r="I29" i="7"/>
  <c r="I36" i="7" s="1"/>
  <c r="K18" i="7"/>
  <c r="K19" i="7" s="1"/>
  <c r="K33" i="7" s="1"/>
  <c r="M17" i="7"/>
  <c r="M25" i="7" s="1"/>
  <c r="F14" i="7"/>
  <c r="I14" i="7"/>
  <c r="M28" i="7"/>
  <c r="M29" i="7" s="1"/>
  <c r="M36" i="7" s="1"/>
  <c r="H28" i="7"/>
  <c r="H29" i="7" s="1"/>
  <c r="H36" i="7" s="1"/>
  <c r="L17" i="7"/>
  <c r="L23" i="7" s="1"/>
  <c r="L35" i="7" s="1"/>
  <c r="F46" i="7"/>
  <c r="M46" i="7"/>
  <c r="H14" i="7"/>
  <c r="L28" i="7"/>
  <c r="L29" i="7" s="1"/>
  <c r="L36" i="7" s="1"/>
  <c r="N17" i="7"/>
  <c r="N21" i="7" s="1"/>
  <c r="N34" i="7" s="1"/>
  <c r="N14" i="7"/>
  <c r="J17" i="7"/>
  <c r="J21" i="7" s="1"/>
  <c r="J34" i="7" s="1"/>
  <c r="J14" i="7"/>
  <c r="L14" i="7"/>
  <c r="K21" i="7"/>
  <c r="K34" i="7" s="1"/>
  <c r="I17" i="7"/>
  <c r="I25" i="7" s="1"/>
  <c r="N29" i="7"/>
  <c r="N36" i="7" s="1"/>
  <c r="J29" i="7"/>
  <c r="J36" i="7" s="1"/>
  <c r="H31" i="7"/>
  <c r="H37" i="7" s="1"/>
  <c r="N70" i="7" l="1"/>
  <c r="N72" i="7" s="1"/>
  <c r="S37" i="6"/>
  <c r="R36" i="6"/>
  <c r="M48" i="7"/>
  <c r="M62" i="7" s="1"/>
  <c r="N66" i="7"/>
  <c r="F60" i="7"/>
  <c r="F61" i="7"/>
  <c r="M63" i="7"/>
  <c r="M60" i="7"/>
  <c r="F65" i="7"/>
  <c r="J61" i="7"/>
  <c r="J66" i="7"/>
  <c r="M65" i="7"/>
  <c r="G18" i="7"/>
  <c r="G19" i="7" s="1"/>
  <c r="G33" i="7" s="1"/>
  <c r="I23" i="7"/>
  <c r="I35" i="7" s="1"/>
  <c r="K25" i="7"/>
  <c r="G23" i="7"/>
  <c r="G35" i="7" s="1"/>
  <c r="G31" i="7"/>
  <c r="G37" i="7" s="1"/>
  <c r="G21" i="7"/>
  <c r="G34" i="7" s="1"/>
  <c r="M31" i="7"/>
  <c r="M37" i="7" s="1"/>
  <c r="N23" i="7"/>
  <c r="N35" i="7" s="1"/>
  <c r="H21" i="7"/>
  <c r="H34" i="7" s="1"/>
  <c r="H23" i="7"/>
  <c r="H35" i="7" s="1"/>
  <c r="M23" i="7"/>
  <c r="M35" i="7" s="1"/>
  <c r="K23" i="7"/>
  <c r="K35" i="7" s="1"/>
  <c r="K39" i="7" s="1"/>
  <c r="I31" i="7"/>
  <c r="I37" i="7" s="1"/>
  <c r="J18" i="7"/>
  <c r="J19" i="7" s="1"/>
  <c r="J33" i="7" s="1"/>
  <c r="J48" i="7"/>
  <c r="J62" i="7" s="1"/>
  <c r="H48" i="7"/>
  <c r="H62" i="7" s="1"/>
  <c r="H70" i="7" s="1"/>
  <c r="H72" i="7" s="1"/>
  <c r="H18" i="7"/>
  <c r="H19" i="7" s="1"/>
  <c r="H33" i="7" s="1"/>
  <c r="J25" i="7"/>
  <c r="N18" i="7"/>
  <c r="N19" i="7" s="1"/>
  <c r="N33" i="7" s="1"/>
  <c r="N48" i="7"/>
  <c r="N62" i="7" s="1"/>
  <c r="J23" i="7"/>
  <c r="J35" i="7" s="1"/>
  <c r="I48" i="7"/>
  <c r="I62" i="7" s="1"/>
  <c r="I70" i="7" s="1"/>
  <c r="I72" i="7" s="1"/>
  <c r="I18" i="7"/>
  <c r="I19" i="7" s="1"/>
  <c r="I33" i="7" s="1"/>
  <c r="L21" i="7"/>
  <c r="L34" i="7" s="1"/>
  <c r="I21" i="7"/>
  <c r="I34" i="7" s="1"/>
  <c r="L31" i="7"/>
  <c r="L37" i="7" s="1"/>
  <c r="L48" i="7"/>
  <c r="L62" i="7" s="1"/>
  <c r="L70" i="7" s="1"/>
  <c r="L72" i="7" s="1"/>
  <c r="L18" i="7"/>
  <c r="L19" i="7" s="1"/>
  <c r="L33" i="7" s="1"/>
  <c r="N25" i="7"/>
  <c r="F48" i="7"/>
  <c r="F62" i="7" s="1"/>
  <c r="F18" i="7"/>
  <c r="F19" i="7" s="1"/>
  <c r="F33" i="7" s="1"/>
  <c r="F39" i="7" s="1"/>
  <c r="N31" i="7"/>
  <c r="N37" i="7" s="1"/>
  <c r="L25" i="7"/>
  <c r="M19" i="7"/>
  <c r="M33" i="7" s="1"/>
  <c r="M21" i="7"/>
  <c r="M34" i="7" s="1"/>
  <c r="J31" i="7"/>
  <c r="J37" i="7" s="1"/>
  <c r="M70" i="7" l="1"/>
  <c r="M72" i="7" s="1"/>
  <c r="G39" i="7"/>
  <c r="J70" i="7"/>
  <c r="J72" i="7" s="1"/>
  <c r="F70" i="7"/>
  <c r="F72" i="7" s="1"/>
  <c r="S38" i="6"/>
  <c r="R37" i="6"/>
  <c r="I39" i="7"/>
  <c r="M39" i="7"/>
  <c r="N39" i="7"/>
  <c r="L39" i="7"/>
  <c r="H39" i="7"/>
  <c r="J39" i="7"/>
  <c r="S39" i="6" l="1"/>
  <c r="R38" i="6"/>
  <c r="B29" i="6"/>
  <c r="S40" i="6" l="1"/>
  <c r="R39" i="6"/>
  <c r="B22" i="6"/>
  <c r="S41" i="6" l="1"/>
  <c r="R40" i="6"/>
  <c r="B52" i="6"/>
  <c r="B65" i="6" s="1"/>
  <c r="B26" i="6"/>
  <c r="B28" i="6"/>
  <c r="G9" i="6"/>
  <c r="H9" i="6"/>
  <c r="I9" i="6"/>
  <c r="J9" i="6"/>
  <c r="K9" i="6"/>
  <c r="L9" i="6"/>
  <c r="M9" i="6"/>
  <c r="N9" i="6"/>
  <c r="F9" i="6"/>
  <c r="H8" i="6"/>
  <c r="I8" i="6"/>
  <c r="J8" i="6"/>
  <c r="K8" i="6"/>
  <c r="L8" i="6"/>
  <c r="M8" i="6"/>
  <c r="N8" i="6"/>
  <c r="G7" i="6"/>
  <c r="H7" i="6"/>
  <c r="I7" i="6"/>
  <c r="J7" i="6"/>
  <c r="K7" i="6"/>
  <c r="L7" i="6"/>
  <c r="M7" i="6"/>
  <c r="N7" i="6"/>
  <c r="F7" i="6"/>
  <c r="G4" i="6"/>
  <c r="H4" i="6"/>
  <c r="I4" i="6"/>
  <c r="J4" i="6"/>
  <c r="K4" i="6"/>
  <c r="L4" i="6"/>
  <c r="M4" i="6"/>
  <c r="N4" i="6"/>
  <c r="F4" i="6"/>
  <c r="Q30" i="4"/>
  <c r="K30" i="4"/>
  <c r="J30" i="4"/>
  <c r="I30" i="4"/>
  <c r="H30" i="4"/>
  <c r="G30" i="4"/>
  <c r="F30" i="4"/>
  <c r="E30" i="4"/>
  <c r="D30" i="4"/>
  <c r="C30" i="4"/>
  <c r="Q15" i="4"/>
  <c r="K15" i="4"/>
  <c r="J15" i="4"/>
  <c r="I15" i="4"/>
  <c r="H15" i="4"/>
  <c r="G15" i="4"/>
  <c r="F15" i="4"/>
  <c r="E15" i="4"/>
  <c r="D15" i="4"/>
  <c r="C15" i="4"/>
  <c r="Q9" i="4"/>
  <c r="D9" i="4"/>
  <c r="E9" i="4"/>
  <c r="F9" i="4"/>
  <c r="G9" i="4"/>
  <c r="H9" i="4"/>
  <c r="I9" i="4"/>
  <c r="J9" i="4"/>
  <c r="K9" i="4"/>
  <c r="C9" i="4"/>
  <c r="L6" i="2"/>
  <c r="Q24" i="2"/>
  <c r="K24" i="2"/>
  <c r="J24" i="2"/>
  <c r="I24" i="2"/>
  <c r="H24" i="2"/>
  <c r="G24" i="2"/>
  <c r="F24" i="2"/>
  <c r="E24" i="2"/>
  <c r="D24" i="2"/>
  <c r="C24" i="2"/>
  <c r="Q22" i="2"/>
  <c r="K22" i="2"/>
  <c r="J22" i="2"/>
  <c r="I22" i="2"/>
  <c r="H22" i="2"/>
  <c r="G22" i="2"/>
  <c r="F22" i="2"/>
  <c r="E22" i="2"/>
  <c r="D22" i="2"/>
  <c r="C22" i="2"/>
  <c r="Q20" i="2"/>
  <c r="K20" i="2"/>
  <c r="J20" i="2"/>
  <c r="I20" i="2"/>
  <c r="H20" i="2"/>
  <c r="G20" i="2"/>
  <c r="F20" i="2"/>
  <c r="E20" i="2"/>
  <c r="D20" i="2"/>
  <c r="C20" i="2"/>
  <c r="Q16" i="2"/>
  <c r="K16" i="2"/>
  <c r="J16" i="2"/>
  <c r="I16" i="2"/>
  <c r="H16" i="2"/>
  <c r="G16" i="2"/>
  <c r="F16" i="2"/>
  <c r="E16" i="2"/>
  <c r="D16" i="2"/>
  <c r="C16" i="2"/>
  <c r="Q10" i="2"/>
  <c r="D10" i="2"/>
  <c r="E10" i="2"/>
  <c r="F10" i="2"/>
  <c r="G10" i="2"/>
  <c r="H10" i="2"/>
  <c r="I10" i="2"/>
  <c r="J10" i="2"/>
  <c r="K10" i="2"/>
  <c r="C10" i="2"/>
  <c r="Q7" i="2"/>
  <c r="E7" i="2"/>
  <c r="F7" i="2"/>
  <c r="G7" i="2"/>
  <c r="H7" i="2"/>
  <c r="I7" i="2"/>
  <c r="J7" i="2"/>
  <c r="K7" i="2"/>
  <c r="R7" i="2" s="1"/>
  <c r="D7" i="2"/>
  <c r="R16" i="2" l="1"/>
  <c r="L9" i="2"/>
  <c r="L12" i="2"/>
  <c r="R30" i="4"/>
  <c r="R10" i="2"/>
  <c r="R9" i="4"/>
  <c r="R24" i="2"/>
  <c r="J63" i="6"/>
  <c r="K71" i="6"/>
  <c r="B31" i="6"/>
  <c r="B79" i="6" s="1"/>
  <c r="B81" i="6" s="1"/>
  <c r="K63" i="6"/>
  <c r="R22" i="2"/>
  <c r="S42" i="6"/>
  <c r="R41" i="6"/>
  <c r="L8" i="4"/>
  <c r="O7" i="6" s="1"/>
  <c r="L14" i="4"/>
  <c r="O9" i="6" s="1"/>
  <c r="L29" i="4"/>
  <c r="O8" i="6" s="1"/>
  <c r="R15" i="4"/>
  <c r="L23" i="2"/>
  <c r="L15" i="2"/>
  <c r="L21" i="2"/>
  <c r="L19" i="2"/>
  <c r="R20" i="2"/>
  <c r="M6" i="2"/>
  <c r="C6" i="6"/>
  <c r="D6" i="6"/>
  <c r="D10" i="6" s="1"/>
  <c r="E6" i="6"/>
  <c r="E10" i="6" s="1"/>
  <c r="F6" i="6"/>
  <c r="F10" i="6" s="1"/>
  <c r="G6" i="6"/>
  <c r="G10" i="6" s="1"/>
  <c r="H6" i="6"/>
  <c r="H10" i="6" s="1"/>
  <c r="I6" i="6"/>
  <c r="I10" i="6" s="1"/>
  <c r="J6" i="6"/>
  <c r="J10" i="6" s="1"/>
  <c r="K6" i="6"/>
  <c r="K10" i="6" s="1"/>
  <c r="L6" i="6"/>
  <c r="L10" i="6" s="1"/>
  <c r="M6" i="6"/>
  <c r="M10" i="6" s="1"/>
  <c r="N6" i="6"/>
  <c r="N10" i="6" s="1"/>
  <c r="C10" i="6"/>
  <c r="B23" i="6"/>
  <c r="B25" i="6"/>
  <c r="B51" i="6"/>
  <c r="B78" i="6"/>
  <c r="B84" i="6"/>
  <c r="B86" i="6"/>
  <c r="S43" i="6" l="1"/>
  <c r="R42" i="6"/>
  <c r="R39" i="11"/>
  <c r="R41" i="11" s="1"/>
  <c r="B83" i="6"/>
  <c r="B64" i="6"/>
  <c r="J59" i="6"/>
  <c r="K59" i="6" s="1"/>
  <c r="C30" i="6"/>
  <c r="C31" i="6" s="1"/>
  <c r="B33" i="6" s="1"/>
  <c r="E81" i="6"/>
  <c r="M29" i="4"/>
  <c r="P8" i="6" s="1"/>
  <c r="M14" i="4"/>
  <c r="P9" i="6" s="1"/>
  <c r="M8" i="4"/>
  <c r="P7" i="6" s="1"/>
  <c r="M21" i="2"/>
  <c r="M15" i="2"/>
  <c r="M23" i="2"/>
  <c r="M19" i="2"/>
  <c r="L14" i="2"/>
  <c r="L25" i="2" s="1"/>
  <c r="O4" i="6" s="1"/>
  <c r="O6" i="6" s="1"/>
  <c r="O10" i="6" s="1"/>
  <c r="B47" i="6" s="1"/>
  <c r="B60" i="6" s="1"/>
  <c r="M9" i="2"/>
  <c r="M12" i="2" s="1"/>
  <c r="N6" i="2"/>
  <c r="L11" i="6"/>
  <c r="M11" i="6"/>
  <c r="H11" i="6"/>
  <c r="I11" i="6"/>
  <c r="N11" i="6"/>
  <c r="J11" i="6"/>
  <c r="K11" i="6"/>
  <c r="F11" i="6"/>
  <c r="G11" i="6"/>
  <c r="D11" i="6"/>
  <c r="E11" i="6"/>
  <c r="S44" i="6" l="1"/>
  <c r="R43" i="6"/>
  <c r="B48" i="6"/>
  <c r="N8" i="4"/>
  <c r="Q7" i="6" s="1"/>
  <c r="N29" i="4"/>
  <c r="Q8" i="6" s="1"/>
  <c r="N14" i="4"/>
  <c r="Q9" i="6" s="1"/>
  <c r="O11" i="6"/>
  <c r="O12" i="6" s="1"/>
  <c r="M14" i="2"/>
  <c r="M25" i="2" s="1"/>
  <c r="P4" i="6" s="1"/>
  <c r="P6" i="6" s="1"/>
  <c r="P10" i="6" s="1"/>
  <c r="C47" i="6" s="1"/>
  <c r="C60" i="6" s="1"/>
  <c r="D81" i="6"/>
  <c r="H81" i="6"/>
  <c r="F81" i="6"/>
  <c r="L81" i="6"/>
  <c r="G81" i="6"/>
  <c r="I81" i="6"/>
  <c r="C81" i="6"/>
  <c r="K81" i="6"/>
  <c r="J81" i="6"/>
  <c r="N21" i="2"/>
  <c r="N15" i="2"/>
  <c r="N23" i="2"/>
  <c r="N19" i="2"/>
  <c r="N9" i="2"/>
  <c r="N12" i="2" s="1"/>
  <c r="O6" i="2"/>
  <c r="N13" i="6"/>
  <c r="L12" i="6"/>
  <c r="J12" i="6"/>
  <c r="L13" i="6"/>
  <c r="K13" i="6"/>
  <c r="I12" i="6"/>
  <c r="G12" i="6"/>
  <c r="I13" i="6"/>
  <c r="J13" i="6"/>
  <c r="H12" i="6"/>
  <c r="N12" i="6"/>
  <c r="F12" i="6"/>
  <c r="H13" i="6"/>
  <c r="M12" i="6"/>
  <c r="K12" i="6"/>
  <c r="M13" i="6"/>
  <c r="S45" i="6" l="1"/>
  <c r="R45" i="6" s="1"/>
  <c r="R44" i="6"/>
  <c r="C61" i="6"/>
  <c r="B61" i="6"/>
  <c r="O13" i="6"/>
  <c r="P11" i="6"/>
  <c r="C48" i="6"/>
  <c r="N14" i="2"/>
  <c r="N25" i="2" s="1"/>
  <c r="Q4" i="6" s="1"/>
  <c r="Q6" i="6" s="1"/>
  <c r="Q10" i="6" s="1"/>
  <c r="D47" i="6" s="1"/>
  <c r="D60" i="6" s="1"/>
  <c r="D61" i="6" s="1"/>
  <c r="O8" i="4"/>
  <c r="R7" i="6" s="1"/>
  <c r="O14" i="4"/>
  <c r="R9" i="6" s="1"/>
  <c r="O29" i="4"/>
  <c r="R8" i="6" s="1"/>
  <c r="O21" i="2"/>
  <c r="O15" i="2"/>
  <c r="O23" i="2"/>
  <c r="O19" i="2"/>
  <c r="O9" i="2"/>
  <c r="O12" i="2" s="1"/>
  <c r="P6" i="2"/>
  <c r="O14" i="2" l="1"/>
  <c r="O25" i="2" s="1"/>
  <c r="R4" i="6" s="1"/>
  <c r="R6" i="6" s="1"/>
  <c r="R10" i="6" s="1"/>
  <c r="E47" i="6" s="1"/>
  <c r="E60" i="6" s="1"/>
  <c r="E61" i="6" s="1"/>
  <c r="D48" i="6"/>
  <c r="Q11" i="6"/>
  <c r="Q12" i="6" s="1"/>
  <c r="P14" i="4"/>
  <c r="S9" i="6" s="1"/>
  <c r="P8" i="4"/>
  <c r="S7" i="6" s="1"/>
  <c r="P29" i="4"/>
  <c r="S8" i="6" s="1"/>
  <c r="P12" i="6"/>
  <c r="P13" i="6"/>
  <c r="P9" i="2"/>
  <c r="P12" i="2" s="1"/>
  <c r="P15" i="2"/>
  <c r="P23" i="2"/>
  <c r="P19" i="2"/>
  <c r="P21" i="2"/>
  <c r="Q13" i="6" l="1"/>
  <c r="P14" i="2"/>
  <c r="P25" i="2" s="1"/>
  <c r="E48" i="6"/>
  <c r="R11" i="6"/>
  <c r="J60" i="6" l="1"/>
  <c r="K60" i="6" s="1"/>
  <c r="K62" i="6" s="1"/>
  <c r="S4" i="6"/>
  <c r="V4" i="6" s="1"/>
  <c r="B77" i="6"/>
  <c r="B82" i="6" s="1"/>
  <c r="R12" i="6"/>
  <c r="R13" i="6"/>
  <c r="S6" i="6" l="1"/>
  <c r="S10" i="6" s="1"/>
  <c r="V10" i="6" s="1"/>
  <c r="J61" i="6"/>
  <c r="J62" i="6" s="1"/>
  <c r="J64" i="6" s="1"/>
  <c r="B41" i="6"/>
  <c r="F47" i="6"/>
  <c r="E82" i="6"/>
  <c r="E85" i="6" s="1"/>
  <c r="E87" i="6" s="1"/>
  <c r="B85" i="6"/>
  <c r="B87" i="6" s="1"/>
  <c r="J82" i="6"/>
  <c r="J85" i="6" s="1"/>
  <c r="J87" i="6" s="1"/>
  <c r="I82" i="6"/>
  <c r="I85" i="6" s="1"/>
  <c r="I87" i="6" s="1"/>
  <c r="H82" i="6"/>
  <c r="H85" i="6" s="1"/>
  <c r="H87" i="6" s="1"/>
  <c r="G82" i="6"/>
  <c r="G85" i="6" s="1"/>
  <c r="G87" i="6" s="1"/>
  <c r="L82" i="6"/>
  <c r="L85" i="6" s="1"/>
  <c r="L87" i="6" s="1"/>
  <c r="K82" i="6"/>
  <c r="K85" i="6" s="1"/>
  <c r="K87" i="6" s="1"/>
  <c r="F82" i="6"/>
  <c r="F85" i="6" s="1"/>
  <c r="F87" i="6" s="1"/>
  <c r="D82" i="6"/>
  <c r="D85" i="6" s="1"/>
  <c r="D87" i="6" s="1"/>
  <c r="C82" i="6"/>
  <c r="C85" i="6" s="1"/>
  <c r="C87" i="6" s="1"/>
  <c r="B39" i="6"/>
  <c r="S11" i="6"/>
  <c r="G60" i="6" l="1"/>
  <c r="G61" i="6" s="1"/>
  <c r="G47" i="6"/>
  <c r="G48" i="6" s="1"/>
  <c r="K64" i="6"/>
  <c r="F48" i="6"/>
  <c r="F60" i="6"/>
  <c r="F61" i="6" s="1"/>
  <c r="G88" i="6"/>
  <c r="S12" i="6"/>
  <c r="U10" i="6"/>
  <c r="S13" i="6"/>
  <c r="B42" i="6"/>
  <c r="B63" i="6" l="1"/>
  <c r="B50" i="6"/>
  <c r="B54" i="6" s="1"/>
  <c r="B55" i="6" s="1"/>
  <c r="B67" i="6" l="1"/>
  <c r="K72" i="6"/>
  <c r="B68" i="6" l="1"/>
  <c r="S49" i="6" s="1"/>
  <c r="S18" i="6" l="1"/>
</calcChain>
</file>

<file path=xl/sharedStrings.xml><?xml version="1.0" encoding="utf-8"?>
<sst xmlns="http://schemas.openxmlformats.org/spreadsheetml/2006/main" count="1512" uniqueCount="696">
  <si>
    <t>Revenue</t>
  </si>
  <si>
    <t>Gross Profit</t>
  </si>
  <si>
    <t>Reference Items</t>
  </si>
  <si>
    <t>Align Technology Inc (ALGN US) - Adjusted</t>
  </si>
  <si>
    <t>In Millions of USD except Per Share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</si>
  <si>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</si>
  <si>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</si>
  <si>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</si>
  <si>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</si>
  <si>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</si>
  <si>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</si>
  <si>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</si>
  <si>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</si>
  <si>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</si>
  <si>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Last 12M</t>
  </si>
  <si>
    <t>FY 2016 Est</t>
  </si>
  <si>
    <t>FY 2017 Est</t>
  </si>
  <si>
    <t>12 Months Ending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</si>
  <si>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</si>
  <si>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</si>
  <si>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</si>
  <si>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</si>
  <si>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</si>
  <si>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</si>
  <si>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</si>
  <si>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</si>
  <si>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</si>
  <si>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09/30/2016</t>
  </si>
  <si>
    <t>12/31/2016</t>
  </si>
  <si>
    <t>12/31/2017</t>
  </si>
  <si>
    <t>SALES_REV_TURN</t>
  </si>
  <si>
    <t xml:space="preserve">    + Sales &amp; Services Revenue</t>
  </si>
  <si>
    <t>IS_SALES_AND_SERVICES_REVENUES</t>
  </si>
  <si>
    <t>—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</si>
  <si>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</si>
  <si>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</si>
  <si>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</si>
  <si>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</si>
  <si>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</si>
  <si>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</si>
  <si>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</si>
  <si>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</si>
  <si>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</si>
  <si>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</si>
  <si>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IS_SG&amp;A_EXPENSE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</si>
  <si>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</si>
  <si>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</si>
  <si>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</si>
  <si>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</si>
  <si>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</si>
  <si>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IS_OPEX_R&amp;D</t>
  </si>
  <si>
    <t xml:space="preserve">    + Depreciation &amp; Amortization</t>
  </si>
  <si>
    <t>IS_DEPRECIATION_AND_AMORTIZATION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</si>
  <si>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</si>
  <si>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</si>
  <si>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</si>
  <si>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</si>
  <si>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</si>
  <si>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</si>
  <si>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</si>
  <si>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</si>
  <si>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</si>
  <si>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</si>
  <si>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</si>
  <si>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</si>
  <si>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</si>
  <si>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</si>
  <si>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</si>
  <si>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</si>
  <si>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</si>
  <si>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</si>
  <si>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</si>
  <si>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</si>
  <si>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</si>
  <si>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</si>
  <si>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</si>
  <si>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</si>
  <si>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Asset Write-Down</t>
  </si>
  <si>
    <t>IS_IMPAIRMENT_ASSETS</t>
  </si>
  <si>
    <t xml:space="preserve">    + Impairment of Goodwill</t>
  </si>
  <si>
    <t>IS_IMPAIRMENT_GOODWILL_INTANGIBL</t>
  </si>
  <si>
    <t xml:space="preserve">    + Legal Settlement</t>
  </si>
  <si>
    <t>IS_LEGAL_LITIGATION_SETTLEMENT</t>
  </si>
  <si>
    <t xml:space="preserve">    + Restructuring</t>
  </si>
  <si>
    <t>IS_RESTRUCTURING_EXPENSES</t>
  </si>
  <si>
    <t xml:space="preserve">    + Insurance Settlement</t>
  </si>
  <si>
    <t>IS_INSURANCE_SETTLEMENTS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</si>
  <si>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</si>
  <si>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</si>
  <si>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</si>
  <si>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</si>
  <si>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</si>
  <si>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</si>
  <si>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</si>
  <si>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</si>
  <si>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</si>
  <si>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</si>
  <si>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</si>
  <si>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</si>
  <si>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</si>
  <si>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</si>
  <si>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</si>
  <si>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</si>
  <si>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IS_EXTRAORD_ITEMS_&amp;_ACCTG_CHNG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</si>
  <si>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</si>
  <si>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</si>
  <si>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</si>
  <si>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</si>
  <si>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</si>
  <si>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</si>
  <si>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</si>
  <si>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</si>
  <si>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</si>
  <si>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</si>
  <si>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</si>
  <si>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</si>
  <si>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</si>
  <si>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</si>
  <si>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</si>
  <si>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</si>
  <si>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</si>
  <si>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</si>
  <si>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</si>
  <si>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</si>
  <si>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</si>
  <si>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</si>
  <si>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</si>
  <si>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</si>
  <si>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</si>
  <si>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</si>
  <si>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</si>
  <si>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</si>
  <si>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</si>
  <si>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</si>
  <si>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</si>
  <si>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</si>
  <si>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</si>
  <si>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</si>
  <si>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</si>
  <si>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</si>
  <si>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</si>
  <si>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</si>
  <si>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</si>
  <si>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</si>
  <si>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</si>
  <si>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</si>
  <si>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</si>
  <si>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</si>
  <si>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</si>
  <si>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</si>
  <si>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</si>
  <si>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</si>
  <si>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</si>
  <si>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</si>
  <si>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</si>
  <si>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</si>
  <si>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</si>
  <si>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</si>
  <si>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</si>
  <si>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</si>
  <si>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</si>
  <si>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</si>
  <si>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</si>
  <si>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</si>
  <si>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Source: Bloomberg</t>
  </si>
  <si>
    <t>NUM_OF_EMPLOYEES</t>
  </si>
  <si>
    <t>Number of Employees</t>
  </si>
  <si>
    <t>CASH_CONVERSION_CYCLE</t>
  </si>
  <si>
    <t>Cash Conversion Cycle</t>
  </si>
  <si>
    <t>CUR_RATIO</t>
  </si>
  <si>
    <t>Current Ratio</t>
  </si>
  <si>
    <t>TCE_RATIO</t>
  </si>
  <si>
    <t>Tangible Common Equity Ratio</t>
  </si>
  <si>
    <t>NET_DEBT_TO_SHRHLDR_EQTY</t>
  </si>
  <si>
    <t>Net Debt to Equity</t>
  </si>
  <si>
    <t>NET_DEBT</t>
  </si>
  <si>
    <t>Net Debt</t>
  </si>
  <si>
    <t>BS_OPTIONS_OUTSTANDING</t>
  </si>
  <si>
    <t>Options Outstanding at Period End</t>
  </si>
  <si>
    <t>BS_OPTIONS_GRANTED</t>
  </si>
  <si>
    <t>Options Granted During Period</t>
  </si>
  <si>
    <t>BS_TOTAL_CAPITAL_LEASES</t>
  </si>
  <si>
    <t>Capital Leases - Total</t>
  </si>
  <si>
    <t>BS_FUTURE_MIN_OPER_LEASE_OBLIG</t>
  </si>
  <si>
    <t>Future Minimum Operating Lease Obligations</t>
  </si>
  <si>
    <t>BS_NUM_OF_TSY_SH</t>
  </si>
  <si>
    <t>Number of Treasury Shares</t>
  </si>
  <si>
    <t>BS_SH_OUT</t>
  </si>
  <si>
    <t>Shares Outstanding</t>
  </si>
  <si>
    <t>TOT_LIAB_AND_EQY</t>
  </si>
  <si>
    <t>Total Liabilities &amp; Equity</t>
  </si>
  <si>
    <t>TOTAL_EQUITY</t>
  </si>
  <si>
    <t>Total Equity</t>
  </si>
  <si>
    <t>MINORITY_NONCONTROLLING_INTEREST</t>
  </si>
  <si>
    <t xml:space="preserve">  + Minority/Non Controlling Interest</t>
  </si>
  <si>
    <t>EQTY_BEF_MINORITY_INT_DETAILED</t>
  </si>
  <si>
    <t>Equity Before Minority Interest</t>
  </si>
  <si>
    <t>OTHER_INS_RES_TO_SHRHLDR_EQY</t>
  </si>
  <si>
    <t xml:space="preserve">  + Other Equity</t>
  </si>
  <si>
    <t>BS_PURE_RETAINED_EARNINGS</t>
  </si>
  <si>
    <t xml:space="preserve">  + Retained Earnings</t>
  </si>
  <si>
    <t>BS_AMT_OF_TSY_STOCK</t>
  </si>
  <si>
    <t xml:space="preserve">  - Treasury Stock</t>
  </si>
  <si>
    <t>BS_ADD_PAID_IN_CAP</t>
  </si>
  <si>
    <t xml:space="preserve">    + Additional Paid in Capital</t>
  </si>
  <si>
    <t>BS_COMMON_STOCK</t>
  </si>
  <si>
    <t xml:space="preserve">    + Common Stock</t>
  </si>
  <si>
    <t>BS_SH_CAP_AND_APIC</t>
  </si>
  <si>
    <t xml:space="preserve">  + Share Capital &amp; APIC</t>
  </si>
  <si>
    <t>BS_PFD_EQY</t>
  </si>
  <si>
    <t xml:space="preserve">  + Preferred Equity</t>
  </si>
  <si>
    <t>BS_TOT_LIAB2</t>
  </si>
  <si>
    <t>Total Liabilities</t>
  </si>
  <si>
    <t>NON_CUR_LIAB</t>
  </si>
  <si>
    <t>Total Noncurrent Liabilities</t>
  </si>
  <si>
    <t>OTHER_NONCURRENT_LIABS_DETAILED</t>
  </si>
  <si>
    <t xml:space="preserve">    + Misc LT Liabilities</t>
  </si>
  <si>
    <t>BS_DERIVATIVE_&amp;_HEDGING_LIABS_LT</t>
  </si>
  <si>
    <t xml:space="preserve">    + Derivatives &amp; Hedging</t>
  </si>
  <si>
    <t>LT_DEFERRED_REVENUE</t>
  </si>
  <si>
    <t xml:space="preserve">    + Deferred Revenue</t>
  </si>
  <si>
    <t>BS_OPRB_LT_LIABS</t>
  </si>
  <si>
    <t xml:space="preserve">    + Other Post-Ret Benefits</t>
  </si>
  <si>
    <t>BS_PENSIONS_LT_LIABS</t>
  </si>
  <si>
    <t xml:space="preserve">    + Pensions</t>
  </si>
  <si>
    <t>PENSION_LIABILITIES</t>
  </si>
  <si>
    <t xml:space="preserve">    + Pension Liabilities</t>
  </si>
  <si>
    <t>BS_ACCRUED_LIABILITIES</t>
  </si>
  <si>
    <t xml:space="preserve">    + Accrued Liabilities</t>
  </si>
  <si>
    <t>OTHER_NONCUR_LIABS_SUB_DETAILED</t>
  </si>
  <si>
    <t xml:space="preserve">  + Other LT Liabilities</t>
  </si>
  <si>
    <t>LT_CAPITAL_LEASE_OBLIGATIONS</t>
  </si>
  <si>
    <t xml:space="preserve">    + LT Capital Leases</t>
  </si>
  <si>
    <t>LONG_TERM_BORROWINGS_DETAILED</t>
  </si>
  <si>
    <t xml:space="preserve">    + LT Borrowings</t>
  </si>
  <si>
    <t>BS_LT_BORROW</t>
  </si>
  <si>
    <t xml:space="preserve">  + LT Debt</t>
  </si>
  <si>
    <t>BS_CUR_LIAB</t>
  </si>
  <si>
    <t>Total Current Liabilities</t>
  </si>
  <si>
    <t>OTHER_CURRENT_LIABS_DETAILED</t>
  </si>
  <si>
    <t xml:space="preserve">    + Misc ST Liabilities</t>
  </si>
  <si>
    <t>BS_DERIVATIVE_&amp;_HEDGING_LIABS_ST</t>
  </si>
  <si>
    <t>ST_DEFERRED_REVENUE</t>
  </si>
  <si>
    <t>OTHER_CURRENT_LIABS_SUB_DETAILED</t>
  </si>
  <si>
    <t xml:space="preserve">  + Other ST Liabilities</t>
  </si>
  <si>
    <t>ST_CAPITAL_LEASE_OBLIGATIONS</t>
  </si>
  <si>
    <t xml:space="preserve">    + ST Capital Leases</t>
  </si>
  <si>
    <t>SHORT_TERM_DEBT_DETAILED</t>
  </si>
  <si>
    <t xml:space="preserve">    + ST Borrowings</t>
  </si>
  <si>
    <t>BS_ST_BORROW</t>
  </si>
  <si>
    <t xml:space="preserve">  + ST Debt</t>
  </si>
  <si>
    <t>BS_ACCRUAL</t>
  </si>
  <si>
    <t xml:space="preserve">    + Other Payables &amp; Accruals</t>
  </si>
  <si>
    <t>BS_INTEREST_&amp;_DIVIDENDS_PAYABLE</t>
  </si>
  <si>
    <t xml:space="preserve">    + Interest &amp; Dividends Payable</t>
  </si>
  <si>
    <t>BS_TAXES_PAYABLE</t>
  </si>
  <si>
    <t xml:space="preserve">    + Accrued Taxes</t>
  </si>
  <si>
    <t>BS_ACCT_PAYABLE</t>
  </si>
  <si>
    <t xml:space="preserve">    + Accounts Payable</t>
  </si>
  <si>
    <t>ACCT_PAYABLE_&amp;_ACCRUALS_DETAILED</t>
  </si>
  <si>
    <t xml:space="preserve">  + Payables &amp; Accruals</t>
  </si>
  <si>
    <t>Liabilities &amp; Shareholders' Equity</t>
  </si>
  <si>
    <t>BS_TOT_ASSET</t>
  </si>
  <si>
    <t>Total Assets</t>
  </si>
  <si>
    <t>BS_TOT_NON_CUR_ASSET</t>
  </si>
  <si>
    <t>Total Noncurrent Assets</t>
  </si>
  <si>
    <t>OTHER_NONCURRENT_ASSETS_DETAILED</t>
  </si>
  <si>
    <t xml:space="preserve">    + Misc LT Assets</t>
  </si>
  <si>
    <t>BS_DERIV_&amp;_HEDGING_ASSETS_LT</t>
  </si>
  <si>
    <t xml:space="preserve">    + Derivative &amp; Hedging Assets</t>
  </si>
  <si>
    <t>BS_DEFERRED_TAX_ASSETS_LT</t>
  </si>
  <si>
    <t xml:space="preserve">    + Deferred Tax Assets</t>
  </si>
  <si>
    <t>OTHER_INTANGIBLE_ASSETS_DETAILED</t>
  </si>
  <si>
    <t xml:space="preserve">    + Other Intangible Assets</t>
  </si>
  <si>
    <t>BS_GOODWILL</t>
  </si>
  <si>
    <t xml:space="preserve">    + Goodwill</t>
  </si>
  <si>
    <t>BS_DISCLOSED_INTANGIBLES</t>
  </si>
  <si>
    <t xml:space="preserve">    + Total Intangible Assets</t>
  </si>
  <si>
    <t>BS_OTHER_ASSETS_DEF_CHRG_OTHER</t>
  </si>
  <si>
    <t xml:space="preserve">  + Other LT Assets</t>
  </si>
  <si>
    <t>BS_LT_MARKETABLE_SECURITIES</t>
  </si>
  <si>
    <t xml:space="preserve">    + LT Marketable Securities</t>
  </si>
  <si>
    <t>BS_LT_INVEST</t>
  </si>
  <si>
    <t xml:space="preserve">  + LT Investments &amp; Receivables</t>
  </si>
  <si>
    <t>BS_ACCUM_DEPR</t>
  </si>
  <si>
    <t xml:space="preserve">    - Accumulated Depreciation</t>
  </si>
  <si>
    <t>BS_GROSS_FIX_ASSET</t>
  </si>
  <si>
    <t xml:space="preserve">    + Property, Plant &amp; Equip</t>
  </si>
  <si>
    <t>BS_NET_FIX_ASSET</t>
  </si>
  <si>
    <t xml:space="preserve">  + Property, Plant &amp; Equip, Net</t>
  </si>
  <si>
    <t>BS_CUR_ASSET_REPORT</t>
  </si>
  <si>
    <t>Total Current Assets</t>
  </si>
  <si>
    <t>BS_OTHER_CUR_ASSET_LESS_PREPAY</t>
  </si>
  <si>
    <t xml:space="preserve">    + Misc ST Assets</t>
  </si>
  <si>
    <t>BS_DEFERRED_TAX_ASSETS_ST</t>
  </si>
  <si>
    <t>BS_DERIV_&amp;_HEDGING_ASSETS_ST</t>
  </si>
  <si>
    <t>OTHER_CURRENT_ASSETS_DETAILED</t>
  </si>
  <si>
    <t xml:space="preserve">  + Other ST Assets</t>
  </si>
  <si>
    <t>BS_OTHER_INV</t>
  </si>
  <si>
    <t xml:space="preserve">    + Other Inventory</t>
  </si>
  <si>
    <t>INVTRY_FINISHED_GOODS</t>
  </si>
  <si>
    <t xml:space="preserve">    + Finished Goods</t>
  </si>
  <si>
    <t>INVTRY_IN_PROGRESS</t>
  </si>
  <si>
    <t xml:space="preserve">    + Work In Process</t>
  </si>
  <si>
    <t>INVTRY_RAW_MATERIALS</t>
  </si>
  <si>
    <t xml:space="preserve">    + Raw Materials</t>
  </si>
  <si>
    <t>BS_INVENTORIES</t>
  </si>
  <si>
    <t xml:space="preserve">  + Inventories</t>
  </si>
  <si>
    <t>NOTES_RECEIVABLE</t>
  </si>
  <si>
    <t xml:space="preserve">    + Notes Receivable, Net</t>
  </si>
  <si>
    <t>BS_ACCTS_REC_EXCL_NOTES_REC</t>
  </si>
  <si>
    <t xml:space="preserve">    + Accounts Receivable, Net</t>
  </si>
  <si>
    <t>BS_ACCT_NOTE_RCV</t>
  </si>
  <si>
    <t xml:space="preserve">  + Accounts &amp; Notes Receiv</t>
  </si>
  <si>
    <t>BS_MKT_SEC_OTHER_ST_INVEST</t>
  </si>
  <si>
    <t xml:space="preserve">    + ST Investments</t>
  </si>
  <si>
    <t>BS_CASH_NEAR_CASH_ITEM</t>
  </si>
  <si>
    <t xml:space="preserve">    + Cash &amp; Cash Equivalents</t>
  </si>
  <si>
    <t>C&amp;CE_AND_STI_DETAILED</t>
  </si>
  <si>
    <t xml:space="preserve">  + Cash, Cash Equivalents &amp; STI</t>
  </si>
  <si>
    <t>Align Technology Inc (ALGN US) - Standardized</t>
  </si>
  <si>
    <t>CASH_FLOW_TO_NET_INC</t>
  </si>
  <si>
    <t>Cash Flow to Net Income</t>
  </si>
  <si>
    <t>PX_TO_FREE_CASH_FLOW</t>
  </si>
  <si>
    <t>Price to Free Cash Flow</t>
  </si>
  <si>
    <t>FREE_CASH_FLOW_PER_SH</t>
  </si>
  <si>
    <t>Free Cash Flow per Basic Share</t>
  </si>
  <si>
    <t>FREE_CASH_FLOW_EQUITY</t>
  </si>
  <si>
    <t>Free Cash Flow to Equity</t>
  </si>
  <si>
    <t>CF_FREE_CASH_FLOW_FIRM</t>
  </si>
  <si>
    <t>Free Cash Flow to Firm</t>
  </si>
  <si>
    <t>CF_FREE_CASH_FLOW</t>
  </si>
  <si>
    <t>Free Cash Flow</t>
  </si>
  <si>
    <t>CF_TAX_BENEFIT_FRM_STOCK_OPTIONS</t>
  </si>
  <si>
    <t>Tax Benefit from Stock Options</t>
  </si>
  <si>
    <t>CF_NET_CASH_PAID_FOR_AQUIS</t>
  </si>
  <si>
    <t>Net Cash Paid for Acquisitions</t>
  </si>
  <si>
    <t>Trailing 12M EBITDA Margin</t>
  </si>
  <si>
    <t>CF_ACT_CASH_PAID_FOR_INT_DEBT</t>
  </si>
  <si>
    <t>Cash Paid for Interest</t>
  </si>
  <si>
    <t>CF_CASH_PAID_FOR_TAX</t>
  </si>
  <si>
    <t>Cash Paid for Taxes</t>
  </si>
  <si>
    <t>CF_NET_CHNG_CASH</t>
  </si>
  <si>
    <t>Net Changes in Cash</t>
  </si>
  <si>
    <t>CF_EFFECT_FOREIGN_EXCHANGES</t>
  </si>
  <si>
    <t xml:space="preserve">  Effect of Foreign Exchange Rates</t>
  </si>
  <si>
    <t>CFF_ACTIVITIES_DETAILED</t>
  </si>
  <si>
    <t>Cash from Financing Activities</t>
  </si>
  <si>
    <t>CF_NET_CASH_DISCONTINUED_OPS_FIN</t>
  </si>
  <si>
    <t xml:space="preserve">  + Net Cash From Disc Ops</t>
  </si>
  <si>
    <t>CF_OTHER_FINANCING_ACT_EXCL_FX</t>
  </si>
  <si>
    <t xml:space="preserve">  + Other Financing Activities</t>
  </si>
  <si>
    <t>CF_DECR_CAP_STOCK</t>
  </si>
  <si>
    <t xml:space="preserve">    + Decrease in Capital Stock</t>
  </si>
  <si>
    <t>CF_INCR_CAP_STOCK</t>
  </si>
  <si>
    <t xml:space="preserve">    + Increase in Capital Stock</t>
  </si>
  <si>
    <t>PROC_FR_REPURCH_EQTY_DETAILED</t>
  </si>
  <si>
    <t xml:space="preserve">  + Cash (Repurchase) of Equity</t>
  </si>
  <si>
    <t>CF_PYMT_LT_DEBT_&amp;_CAPITAL_LEASE</t>
  </si>
  <si>
    <t xml:space="preserve">    + Repayments of LT Debt</t>
  </si>
  <si>
    <t>CF_PROC_LT_DEBT_&amp;_CAPITAL_LEASE</t>
  </si>
  <si>
    <t xml:space="preserve">    + Cash From LT Debt</t>
  </si>
  <si>
    <t>CF_NET_CHG_IN_ST_DBT_&amp;_CPTL_LEAS</t>
  </si>
  <si>
    <t xml:space="preserve">    + Cash From (Repay) ST Debt</t>
  </si>
  <si>
    <t>PROC_FR_REPAYMNTS_BOR_DETAILED</t>
  </si>
  <si>
    <t xml:space="preserve">  + Cash From (Repayment) Debt</t>
  </si>
  <si>
    <t>CF_DVD_PAID</t>
  </si>
  <si>
    <t xml:space="preserve">  + Dividends Paid</t>
  </si>
  <si>
    <t>CF_CASH_FROM_INV_ACT</t>
  </si>
  <si>
    <t>Cash from Investing Activities</t>
  </si>
  <si>
    <t>CF_NET_CASH_DISCONTINUED_OPS_INV</t>
  </si>
  <si>
    <t>OTHER_INVESTING_ACT_DETAILED</t>
  </si>
  <si>
    <t xml:space="preserve">  + Other Investing Activities</t>
  </si>
  <si>
    <t>CF_CASH_FOR_JOINT_VENTURES_ASSOC</t>
  </si>
  <si>
    <t xml:space="preserve">    + Cash for JVs</t>
  </si>
  <si>
    <t>CF_CASH_FOR_ACQUIS_SUBSIDIARIES</t>
  </si>
  <si>
    <t xml:space="preserve">    + Cash for Acq of Subs</t>
  </si>
  <si>
    <t>CF_CASH_FOR_DIVESTITURES</t>
  </si>
  <si>
    <t xml:space="preserve">    + Cash from Divestitures</t>
  </si>
  <si>
    <t>CF_NT_CSH_RCVD_PD_FOR_ACQUIS_DIV</t>
  </si>
  <si>
    <t xml:space="preserve">  + Net Cash From Acq &amp; Div</t>
  </si>
  <si>
    <t>CF_INCR_INVEST</t>
  </si>
  <si>
    <t xml:space="preserve">    + Inc in LT Investment</t>
  </si>
  <si>
    <t>CF_DECR_INVEST</t>
  </si>
  <si>
    <t xml:space="preserve">    + Dec in LT Investment</t>
  </si>
  <si>
    <t>NET_CHG_IN_LT_INVEST_DETAILED</t>
  </si>
  <si>
    <t xml:space="preserve">  + Net Change in LT Investment</t>
  </si>
  <si>
    <t>CF_ACQUISITION_OF_INTANG_ASSETS</t>
  </si>
  <si>
    <t xml:space="preserve">    + Acq of Intangible Assets</t>
  </si>
  <si>
    <t>CF_PURCHASE_OF_FIXED_PROD_ASSETS</t>
  </si>
  <si>
    <t xml:space="preserve">    + Acq of Fixed Prod Assets</t>
  </si>
  <si>
    <t>ACQUIS_FXD_&amp;_INTANG_DETAILED</t>
  </si>
  <si>
    <t xml:space="preserve">    + Acq of Fixed &amp; Intang</t>
  </si>
  <si>
    <t>CF_DISPOSAL_OF_INTANGIBLE_ASSETS</t>
  </si>
  <si>
    <t xml:space="preserve">    + Disp of Intangible Assets</t>
  </si>
  <si>
    <t>CF_DISPOSAL_OF_FIXED_PROD_ASSETS</t>
  </si>
  <si>
    <t xml:space="preserve">    + Disp of Fixed Prod Assets</t>
  </si>
  <si>
    <t>DISP_FXD_&amp;_INTANGIBLES_DETAILED</t>
  </si>
  <si>
    <t xml:space="preserve">    + Disp in Fixed &amp; Intang</t>
  </si>
  <si>
    <t>CHG_IN_FXD_&amp;_INTANG_AST_DETAILED</t>
  </si>
  <si>
    <t xml:space="preserve">  + Change in Fixed &amp; Intang</t>
  </si>
  <si>
    <t>CF_CASH_FROM_OPER</t>
  </si>
  <si>
    <t>Cash from Operating Activities</t>
  </si>
  <si>
    <t>CF_NET_CASH_DISCONT_OPS_OPER</t>
  </si>
  <si>
    <t>INC_DEC_IN_OT_OP_AST_LIAB_DETAIL</t>
  </si>
  <si>
    <t xml:space="preserve">    + Inc (Dec) in Other</t>
  </si>
  <si>
    <t>CF_CHANGE_IN_ACCOUNTS_PAYABLE</t>
  </si>
  <si>
    <t xml:space="preserve">    + Inc (Dec) in Accts Payable</t>
  </si>
  <si>
    <t>CF_CHANGE_IN_INVENTORIES</t>
  </si>
  <si>
    <t xml:space="preserve">    + (Inc) Dec in Inventories</t>
  </si>
  <si>
    <t>CF_ACCT_RCV_UNBILLED_REV</t>
  </si>
  <si>
    <t xml:space="preserve">    + (Inc) Dec in Accts Receiv</t>
  </si>
  <si>
    <t>CF_CHNG_NON_CASH_WORK_CAP</t>
  </si>
  <si>
    <t xml:space="preserve">  + Chg in Non-Cash Work Cap</t>
  </si>
  <si>
    <t>OTHER_NON_CASH_ADJ_LESS_DETAILED</t>
  </si>
  <si>
    <t xml:space="preserve">    + Other Non-Cash Adj</t>
  </si>
  <si>
    <t>CF_DEF_INC_TAX</t>
  </si>
  <si>
    <t xml:space="preserve">    + Deferred Income Taxes</t>
  </si>
  <si>
    <t>CF_STOCK_BASED_COMPENSATION</t>
  </si>
  <si>
    <t xml:space="preserve">    + Stock-Based Compensation</t>
  </si>
  <si>
    <t>NON_CASH_ITEMS_DETAILED</t>
  </si>
  <si>
    <t xml:space="preserve">  + Non-Cash Items</t>
  </si>
  <si>
    <t>CF_DEPR_AMORT</t>
  </si>
  <si>
    <t xml:space="preserve">  + Depreciation &amp; Amortization</t>
  </si>
  <si>
    <t>CF_NET_INC</t>
  </si>
  <si>
    <t xml:space="preserve">  + Net Income</t>
  </si>
  <si>
    <t>BS_INVEST_IN_ASSOC_CO</t>
  </si>
  <si>
    <t xml:space="preserve">    + Investments in Affiliates</t>
  </si>
  <si>
    <t>06/30/2016</t>
  </si>
  <si>
    <t>03/31/2016</t>
  </si>
  <si>
    <t>09/30/2015</t>
  </si>
  <si>
    <t>06/30/2015</t>
  </si>
  <si>
    <t>03/31/2015</t>
  </si>
  <si>
    <t>09/30/2014</t>
  </si>
  <si>
    <t>06/30/2014</t>
  </si>
  <si>
    <t>03/31/2014</t>
  </si>
  <si>
    <t>3 Months Ending</t>
  </si>
  <si>
    <t>Q3 2016</t>
  </si>
  <si>
    <t>Q2 2016</t>
  </si>
  <si>
    <t>Q1 2016</t>
  </si>
  <si>
    <t>Q4 2015</t>
  </si>
  <si>
    <t>Q3 2015</t>
  </si>
  <si>
    <t>Q2 2015</t>
  </si>
  <si>
    <t>Q1 2015</t>
  </si>
  <si>
    <t>Q4 2014</t>
  </si>
  <si>
    <t>Q3 2014</t>
  </si>
  <si>
    <t>Q2 2014</t>
  </si>
  <si>
    <t>Q1 2014</t>
  </si>
  <si>
    <t>Q4 2013</t>
  </si>
  <si>
    <t>Val_PerShare</t>
  </si>
  <si>
    <t>Shares_Outstanding</t>
  </si>
  <si>
    <t>Equity Value</t>
  </si>
  <si>
    <t>+cash/eqv</t>
  </si>
  <si>
    <t>-LT debt</t>
  </si>
  <si>
    <t>Final_Year_Val (EV)</t>
  </si>
  <si>
    <t>EBITDA_Mult</t>
  </si>
  <si>
    <t>(Calculated)</t>
  </si>
  <si>
    <t>EV</t>
  </si>
  <si>
    <t>2015_EBITDA</t>
  </si>
  <si>
    <t>Final Year (2020) EBITDA</t>
  </si>
  <si>
    <t>**EQUITY MULTIPLE METHOD</t>
  </si>
  <si>
    <t>PRICE PER SHARE VALUATION:</t>
  </si>
  <si>
    <t>Value of Equity</t>
  </si>
  <si>
    <t>+Cash/eqv</t>
  </si>
  <si>
    <t>Enterprise Value</t>
  </si>
  <si>
    <t>PV(CF)</t>
  </si>
  <si>
    <t>Cash Flow (FCF)</t>
  </si>
  <si>
    <t>Terminal</t>
  </si>
  <si>
    <t>Terminal Value/share</t>
  </si>
  <si>
    <t>Terminal Value</t>
  </si>
  <si>
    <t>Growth Rate Adj</t>
  </si>
  <si>
    <t>Growth Rate Calc</t>
  </si>
  <si>
    <t>Perpetuity: (FCF(f)*(1+g))/(WACC-g) --&gt; 0.5 to 4</t>
  </si>
  <si>
    <t>(3)_FCF_Perp/DCF/ValuePerShare</t>
  </si>
  <si>
    <t>WACC</t>
  </si>
  <si>
    <t>Equity (Mkt Cap)</t>
  </si>
  <si>
    <t>Total Debt</t>
  </si>
  <si>
    <t>LT Debt</t>
  </si>
  <si>
    <t>ST Debt</t>
  </si>
  <si>
    <t>Current Price:</t>
  </si>
  <si>
    <t xml:space="preserve">Shares Outstanding </t>
  </si>
  <si>
    <t>kd_post</t>
  </si>
  <si>
    <t>kd_pre</t>
  </si>
  <si>
    <t>CAPM (ke)</t>
  </si>
  <si>
    <t>BetaAVG</t>
  </si>
  <si>
    <t>Beta5yr</t>
  </si>
  <si>
    <t>Beta2yr</t>
  </si>
  <si>
    <t>RM</t>
  </si>
  <si>
    <t>RF (10yr UST)</t>
  </si>
  <si>
    <t>(2)_WACC</t>
  </si>
  <si>
    <t xml:space="preserve">5 year moving average </t>
  </si>
  <si>
    <t>3 year moving average</t>
  </si>
  <si>
    <t xml:space="preserve">Growth yoy </t>
  </si>
  <si>
    <t>= Free Cash Flow</t>
  </si>
  <si>
    <t>CAGR(5yr)</t>
  </si>
  <si>
    <t>Avg(5yr)</t>
  </si>
  <si>
    <t>- Change in Net Working Capital</t>
  </si>
  <si>
    <t>- Capital Expenditures (FIX)*-1</t>
  </si>
  <si>
    <t>+ Depreciation and Amortization</t>
  </si>
  <si>
    <t>x (1-Tax Rate)</t>
  </si>
  <si>
    <t>Effective Tax Rate</t>
  </si>
  <si>
    <t>Earnings Before Interest and Taxes</t>
  </si>
  <si>
    <t>(NOTES:)</t>
  </si>
  <si>
    <t>(in millions)</t>
  </si>
  <si>
    <t>(1)_FCF Projections</t>
  </si>
  <si>
    <t>%yoy</t>
  </si>
  <si>
    <t>CAGR</t>
  </si>
  <si>
    <t>AVG</t>
  </si>
  <si>
    <t>% reveneue</t>
  </si>
  <si>
    <t>% revenu</t>
  </si>
  <si>
    <t>EBITDA_5</t>
  </si>
  <si>
    <t>EV/EBITDA_Mult</t>
  </si>
  <si>
    <t>Modeul_Input</t>
  </si>
  <si>
    <t>Valuations:</t>
  </si>
  <si>
    <t>Res_Input</t>
  </si>
  <si>
    <t>(4)_DCF_GrowthMethod</t>
  </si>
  <si>
    <t>(4)_DCF_PerpetuityMethod</t>
  </si>
  <si>
    <t>DCF _Growth</t>
  </si>
  <si>
    <t>DCF _Perpetutiy</t>
  </si>
  <si>
    <t>Sensitivity_Analysis .P</t>
  </si>
  <si>
    <t>Sensitivity_Analysis .G</t>
  </si>
  <si>
    <t>Dividend_Model</t>
  </si>
  <si>
    <t>Sensitivity_Analysis .D</t>
  </si>
  <si>
    <t>Comparables_model</t>
  </si>
  <si>
    <t>SimSale_model</t>
  </si>
  <si>
    <t>Comp_EBITDA_model</t>
  </si>
  <si>
    <t>Average_Value</t>
  </si>
  <si>
    <t>CA</t>
  </si>
  <si>
    <t>TA</t>
  </si>
  <si>
    <t>CL</t>
  </si>
  <si>
    <t>TL</t>
  </si>
  <si>
    <t>SO</t>
  </si>
  <si>
    <t>Current Market Cap</t>
  </si>
  <si>
    <t>Sales (Rev)</t>
  </si>
  <si>
    <t>RE</t>
  </si>
  <si>
    <t>D/A</t>
  </si>
  <si>
    <t>NI</t>
  </si>
  <si>
    <t>CFO</t>
  </si>
  <si>
    <t>(Z-Score Model)</t>
  </si>
  <si>
    <t>Total Assets (TA)</t>
  </si>
  <si>
    <t>Working Capital</t>
  </si>
  <si>
    <t>WC/TA</t>
  </si>
  <si>
    <t>Retained Earnings</t>
  </si>
  <si>
    <t>RE/TA</t>
  </si>
  <si>
    <t>EBIT/TA</t>
  </si>
  <si>
    <t>EBITDA/TA</t>
  </si>
  <si>
    <t>MV_Equity</t>
  </si>
  <si>
    <t>BV_TL</t>
  </si>
  <si>
    <t>MV_E/BV_TL</t>
  </si>
  <si>
    <t>Sales</t>
  </si>
  <si>
    <t>Sales/TA</t>
  </si>
  <si>
    <t>x1</t>
  </si>
  <si>
    <t>x2</t>
  </si>
  <si>
    <t>x3</t>
  </si>
  <si>
    <t>x4</t>
  </si>
  <si>
    <t>x5</t>
  </si>
  <si>
    <t>Z-Score:</t>
  </si>
  <si>
    <t>z &lt; 1.8 = bad</t>
  </si>
  <si>
    <t>z &gt; 3 = really good</t>
  </si>
  <si>
    <t>1.8 &lt; z &lt; 3.0 = safe</t>
  </si>
  <si>
    <t>(O-Score Model)</t>
  </si>
  <si>
    <t>WC</t>
  </si>
  <si>
    <t>X, 1 if TL &gt; TA, else 0</t>
  </si>
  <si>
    <t>Y, 1 if net loss for last 2 years, else 0</t>
  </si>
  <si>
    <t>GNP_IndexLevel.Close</t>
  </si>
  <si>
    <t>Weights:</t>
  </si>
  <si>
    <t>x6</t>
  </si>
  <si>
    <t>x7</t>
  </si>
  <si>
    <t>x8</t>
  </si>
  <si>
    <t>x9</t>
  </si>
  <si>
    <t xml:space="preserve">T = </t>
  </si>
  <si>
    <t>E^(T) / (1+E^(T))</t>
  </si>
  <si>
    <t>* &gt; 0.5 = high chance of defualt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</si>
  <si>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</si>
  <si>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</si>
  <si>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</si>
  <si>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</si>
  <si>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</si>
  <si>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</si>
  <si>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Y694RC1A027NBEA</t>
  </si>
  <si>
    <t>Gross Domestic Product: Research and Development, Billions of Dollars, Annual, Not Seasonally Adjusted</t>
  </si>
  <si>
    <t>Frequency: Annual</t>
  </si>
  <si>
    <t>observation_date</t>
  </si>
  <si>
    <t>VAR US</t>
  </si>
  <si>
    <t>VARIAN MEDICAL SYSTEMS INC</t>
  </si>
  <si>
    <t>VAR US Equity</t>
  </si>
  <si>
    <t>CTLT US</t>
  </si>
  <si>
    <t>CATALENT INC</t>
  </si>
  <si>
    <t>CTLT US Equity</t>
  </si>
  <si>
    <t>ALOG US</t>
  </si>
  <si>
    <t>ANALOGIC CORP</t>
  </si>
  <si>
    <t>ALOG US Equity</t>
  </si>
  <si>
    <t>IART US</t>
  </si>
  <si>
    <t>INTEGRA LIFESCIENCES HOLDING</t>
  </si>
  <si>
    <t>IART US Equity</t>
  </si>
  <si>
    <t>HOLX US</t>
  </si>
  <si>
    <t>HOLOGIC INC</t>
  </si>
  <si>
    <t>HOLX US Equity</t>
  </si>
  <si>
    <t>TFX US</t>
  </si>
  <si>
    <t>TELEFLEX INC</t>
  </si>
  <si>
    <t>TFX US Equity</t>
  </si>
  <si>
    <t>HYH US</t>
  </si>
  <si>
    <t>HALYARD HEALTH INC</t>
  </si>
  <si>
    <t>HYH US Equity</t>
  </si>
  <si>
    <t>ATRI US</t>
  </si>
  <si>
    <t>ATRION CORPORATION</t>
  </si>
  <si>
    <t>ATRI US Equity</t>
  </si>
  <si>
    <t>INGN US</t>
  </si>
  <si>
    <t>INOGEN INC</t>
  </si>
  <si>
    <t>INGN US Equity</t>
  </si>
  <si>
    <t>XRAY US</t>
  </si>
  <si>
    <t>DENTSPLY SIRONA INC</t>
  </si>
  <si>
    <t>XRAY US Equity</t>
  </si>
  <si>
    <t>ALGN US</t>
  </si>
  <si>
    <t>ALIGN TECHNOLOGY INC</t>
  </si>
  <si>
    <t>ALGN US Equity</t>
  </si>
  <si>
    <t>Average</t>
  </si>
  <si>
    <t>None (11 securities)</t>
  </si>
  <si>
    <t>Beta:Y-1</t>
  </si>
  <si>
    <t>EBITDA:Y</t>
  </si>
  <si>
    <t>EBITDA:Q</t>
  </si>
  <si>
    <t>C&amp;CE:Q</t>
  </si>
  <si>
    <t>Tot Debt:Q</t>
  </si>
  <si>
    <t>Curr Shares Out</t>
  </si>
  <si>
    <t>Price:D-1</t>
  </si>
  <si>
    <t>Mkt Cap (USD)</t>
  </si>
  <si>
    <t>Tkr &amp; Exch</t>
  </si>
  <si>
    <t>Name</t>
  </si>
  <si>
    <t>Ticker</t>
  </si>
  <si>
    <t>ADJUSTED</t>
  </si>
  <si>
    <t>USD</t>
  </si>
  <si>
    <t>FA_ADJUSTED</t>
  </si>
  <si>
    <t>REL_INDEX</t>
  </si>
  <si>
    <t>EQY_FUND_CRNCY</t>
  </si>
  <si>
    <t>#N/A N/A</t>
  </si>
  <si>
    <t>Retntn Rt:Y</t>
  </si>
  <si>
    <t>Retntn Rt:Q</t>
  </si>
  <si>
    <t>Dvd P/O:Y</t>
  </si>
  <si>
    <t>Dvd P/O:Q</t>
  </si>
  <si>
    <t>Reg Csh DPS</t>
  </si>
  <si>
    <t>Beta:Y-2</t>
  </si>
  <si>
    <t>Beta:Y-5</t>
  </si>
  <si>
    <t>RETURN_ON_ASSET</t>
  </si>
  <si>
    <t>Return on Assets</t>
  </si>
  <si>
    <t>RETURN_COM_EQY</t>
  </si>
  <si>
    <t>Return on Common Equity</t>
  </si>
  <si>
    <t>RETENTION_RATIO</t>
  </si>
  <si>
    <t>Retention Ratio</t>
  </si>
  <si>
    <t>DVD_PAYOUT_RATIO</t>
  </si>
  <si>
    <t>Dividend Payout Ratio</t>
  </si>
  <si>
    <t>BEST_DIV_YLD</t>
  </si>
  <si>
    <t>BEst Div Yld</t>
  </si>
  <si>
    <t>Widely diverse but includes dental</t>
  </si>
  <si>
    <t>Danaher Corp (DHR US) - div</t>
  </si>
  <si>
    <t>Dental</t>
  </si>
  <si>
    <t>DENTSPLY SIRONA Inc (XRAY US) - div</t>
  </si>
  <si>
    <t>XRAY</t>
  </si>
  <si>
    <t>DHR</t>
  </si>
  <si>
    <t>Weight</t>
  </si>
  <si>
    <t>CAGR_5_calc</t>
  </si>
  <si>
    <t>D(0)</t>
  </si>
  <si>
    <t>g (adjusted)</t>
  </si>
  <si>
    <t>D(1) = D(0) x (1 + g)</t>
  </si>
  <si>
    <t>Val = D(1)/(r - g)</t>
  </si>
  <si>
    <t>Company</t>
  </si>
  <si>
    <t>Price</t>
  </si>
  <si>
    <t>MKT_Equity</t>
  </si>
  <si>
    <t>Debt</t>
  </si>
  <si>
    <t>Cash</t>
  </si>
  <si>
    <t>EBITDA Mult</t>
  </si>
  <si>
    <t>Beta</t>
  </si>
  <si>
    <t>Avg</t>
  </si>
  <si>
    <t xml:space="preserve">Average = </t>
  </si>
  <si>
    <t>Excl. Outlier =</t>
  </si>
  <si>
    <t xml:space="preserve">EV = </t>
  </si>
  <si>
    <t xml:space="preserve">Equity Value = </t>
  </si>
  <si>
    <t>SO:</t>
  </si>
  <si>
    <t>VALUATION:</t>
  </si>
  <si>
    <t>(BICS --&gt; Algo Match)</t>
  </si>
  <si>
    <t>max</t>
  </si>
  <si>
    <t>min</t>
  </si>
  <si>
    <t>avg</t>
  </si>
  <si>
    <t>EBITDA_5 vs. WACC</t>
  </si>
  <si>
    <t>Max</t>
  </si>
  <si>
    <t>Min</t>
  </si>
  <si>
    <t>(Mult)</t>
  </si>
  <si>
    <t>EBITDA_LQ</t>
  </si>
  <si>
    <t>IR vs. Total Debt</t>
  </si>
  <si>
    <t>Invisalign Full</t>
  </si>
  <si>
    <t>Invisalign Express</t>
  </si>
  <si>
    <t>Invisalign Non-Case</t>
  </si>
  <si>
    <t>Scanners and Services</t>
  </si>
  <si>
    <t>D/S</t>
  </si>
  <si>
    <t>FCF/Share</t>
  </si>
  <si>
    <t>&lt;NULL&gt;</t>
  </si>
  <si>
    <t>No dividends --&gt; speculation experiment --&gt; not used for Valuation_Final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</si>
</sst>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#,##0.0"/>
    <numFmt numFmtId="166" formatCode="0.0%"/>
    <numFmt numFmtId="167" formatCode="0.000"/>
    <numFmt numFmtId="168" formatCode="yyyy\-mm\-dd"/>
    <numFmt numFmtId="169" formatCode="0.0"/>
    <numFmt numFmtId="170" formatCode="0.0000"/>
    <numFmt numFmtId="171" formatCode="0.0000%"/>
  </numFmts>
  <fonts count="4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B050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u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7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5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5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5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5" fontId="8" fillId="35" borderId="2">
      <alignment horizontal="right"/>
    </xf>
    <xf numFmtId="4" fontId="8" fillId="35" borderId="2">
      <alignment horizontal="right"/>
    </xf>
    <xf numFmtId="165" fontId="11" fillId="34" borderId="2">
      <alignment horizontal="right"/>
    </xf>
    <xf numFmtId="165" fontId="11" fillId="35" borderId="2">
      <alignment horizontal="right"/>
    </xf>
    <xf numFmtId="0" fontId="7" fillId="33" borderId="16">
      <alignment horizontal="left"/>
    </xf>
    <xf numFmtId="0" fontId="7" fillId="33" borderId="16">
      <alignment horizontal="right"/>
    </xf>
    <xf numFmtId="0" fontId="7" fillId="33" borderId="17">
      <alignment horizontal="left"/>
    </xf>
    <xf numFmtId="0" fontId="7" fillId="33" borderId="17">
      <alignment horizontal="right"/>
    </xf>
    <xf numFmtId="0" fontId="4" fillId="34" borderId="18"/>
    <xf numFmtId="0" fontId="8" fillId="34" borderId="18"/>
    <xf numFmtId="0" fontId="3" fillId="34" borderId="18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42" fillId="0" borderId="0"/>
  </cellStyleXfs>
  <cellXfs count="295">
    <xf numFmtId="0" fontId="0" fillId="0" borderId="0" xfId="0"/>
    <xf numFmtId="0" fontId="0" fillId="37" borderId="0" xfId="0" applyFill="1"/>
    <xf numFmtId="9" fontId="0" fillId="41" borderId="0" xfId="74" applyFont="1" applyFill="1"/>
    <xf numFmtId="10" fontId="0" fillId="0" borderId="0" xfId="0" applyNumberFormat="1"/>
    <xf numFmtId="0" fontId="0" fillId="0" borderId="0" xfId="0" quotePrefix="1"/>
    <xf numFmtId="0" fontId="0" fillId="41" borderId="0" xfId="0" applyFill="1"/>
    <xf numFmtId="0" fontId="0" fillId="40" borderId="0" xfId="0" applyFill="1"/>
    <xf numFmtId="0" fontId="34" fillId="37" borderId="0" xfId="0" quotePrefix="1" applyFont="1" applyFill="1"/>
    <xf numFmtId="0" fontId="34" fillId="37" borderId="0" xfId="0" applyFont="1" applyFill="1"/>
    <xf numFmtId="0" fontId="34" fillId="0" borderId="0" xfId="0" quotePrefix="1" applyFont="1"/>
    <xf numFmtId="0" fontId="34" fillId="0" borderId="0" xfId="0" applyFont="1"/>
    <xf numFmtId="0" fontId="32" fillId="37" borderId="0" xfId="0" applyFont="1" applyFill="1"/>
    <xf numFmtId="0" fontId="0" fillId="0" borderId="28" xfId="0" applyBorder="1"/>
    <xf numFmtId="0" fontId="0" fillId="0" borderId="26" xfId="0" applyBorder="1"/>
    <xf numFmtId="0" fontId="0" fillId="0" borderId="24" xfId="0" applyBorder="1"/>
    <xf numFmtId="9" fontId="0" fillId="0" borderId="0" xfId="74" applyFont="1"/>
    <xf numFmtId="0" fontId="0" fillId="37" borderId="33" xfId="0" applyFill="1" applyBorder="1"/>
    <xf numFmtId="0" fontId="27" fillId="0" borderId="0" xfId="0" applyFont="1"/>
    <xf numFmtId="164" fontId="27" fillId="0" borderId="0" xfId="75" applyFont="1"/>
    <xf numFmtId="164" fontId="27" fillId="39" borderId="0" xfId="75" applyFont="1" applyFill="1"/>
    <xf numFmtId="9" fontId="27" fillId="39" borderId="0" xfId="74" applyFont="1" applyFill="1"/>
    <xf numFmtId="0" fontId="33" fillId="37" borderId="0" xfId="0" applyFont="1" applyFill="1"/>
    <xf numFmtId="0" fontId="27" fillId="39" borderId="0" xfId="0" applyFont="1" applyFill="1"/>
    <xf numFmtId="0" fontId="30" fillId="37" borderId="0" xfId="0" applyFont="1" applyFill="1"/>
    <xf numFmtId="164" fontId="0" fillId="0" borderId="0" xfId="75" applyFont="1"/>
    <xf numFmtId="0" fontId="0" fillId="37" borderId="0" xfId="0" applyFill="1" applyAlignment="1">
      <alignment horizontal="center"/>
    </xf>
    <xf numFmtId="0" fontId="0" fillId="37" borderId="28" xfId="0" applyFill="1" applyBorder="1" applyAlignment="1">
      <alignment horizontal="center"/>
    </xf>
    <xf numFmtId="0" fontId="0" fillId="37" borderId="27" xfId="0" applyFill="1" applyBorder="1" applyAlignment="1">
      <alignment horizontal="center"/>
    </xf>
    <xf numFmtId="0" fontId="0" fillId="37" borderId="26" xfId="0" applyFill="1" applyBorder="1" applyAlignment="1">
      <alignment horizontal="center"/>
    </xf>
    <xf numFmtId="0" fontId="0" fillId="0" borderId="25" xfId="0" applyBorder="1"/>
    <xf numFmtId="164" fontId="0" fillId="0" borderId="0" xfId="0" quotePrefix="1" applyNumberFormat="1"/>
    <xf numFmtId="164" fontId="0" fillId="0" borderId="25" xfId="0" quotePrefix="1" applyNumberFormat="1" applyBorder="1"/>
    <xf numFmtId="164" fontId="0" fillId="0" borderId="22" xfId="0" quotePrefix="1" applyNumberFormat="1" applyBorder="1"/>
    <xf numFmtId="164" fontId="0" fillId="0" borderId="0" xfId="0" applyNumberFormat="1"/>
    <xf numFmtId="164" fontId="0" fillId="0" borderId="25" xfId="0" applyNumberFormat="1" applyBorder="1"/>
    <xf numFmtId="164" fontId="0" fillId="0" borderId="22" xfId="0" applyNumberFormat="1" applyBorder="1"/>
    <xf numFmtId="0" fontId="29" fillId="37" borderId="0" xfId="0" applyFont="1" applyFill="1"/>
    <xf numFmtId="0" fontId="29" fillId="37" borderId="24" xfId="0" applyFont="1" applyFill="1" applyBorder="1"/>
    <xf numFmtId="0" fontId="29" fillId="37" borderId="20" xfId="0" applyFont="1" applyFill="1" applyBorder="1"/>
    <xf numFmtId="0" fontId="29" fillId="37" borderId="19" xfId="0" applyFont="1" applyFill="1" applyBorder="1"/>
    <xf numFmtId="0" fontId="0" fillId="0" borderId="22" xfId="0" applyBorder="1"/>
    <xf numFmtId="0" fontId="0" fillId="0" borderId="20" xfId="0" applyBorder="1"/>
    <xf numFmtId="0" fontId="0" fillId="0" borderId="19" xfId="0" applyBorder="1"/>
    <xf numFmtId="0" fontId="7" fillId="33" borderId="16" xfId="67">
      <alignment horizontal="left"/>
    </xf>
    <xf numFmtId="0" fontId="7" fillId="33" borderId="16" xfId="68">
      <alignment horizontal="right"/>
    </xf>
    <xf numFmtId="0" fontId="7" fillId="33" borderId="17" xfId="69">
      <alignment horizontal="left"/>
    </xf>
    <xf numFmtId="0" fontId="7" fillId="33" borderId="17" xfId="70">
      <alignment horizontal="right"/>
    </xf>
    <xf numFmtId="0" fontId="4" fillId="34" borderId="18" xfId="71"/>
    <xf numFmtId="0" fontId="8" fillId="34" borderId="18" xfId="72"/>
    <xf numFmtId="0" fontId="3" fillId="34" borderId="18" xfId="73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5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65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65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65" fontId="8" fillId="35" borderId="2" xfId="63">
      <alignment horizontal="right"/>
    </xf>
    <xf numFmtId="4" fontId="8" fillId="35" borderId="2" xfId="64">
      <alignment horizontal="right"/>
    </xf>
    <xf numFmtId="165" fontId="11" fillId="34" borderId="2" xfId="65">
      <alignment horizontal="right"/>
    </xf>
    <xf numFmtId="165" fontId="11" fillId="35" borderId="2" xfId="66">
      <alignment horizontal="right"/>
    </xf>
    <xf numFmtId="0" fontId="7" fillId="33" borderId="16" xfId="32" applyBorder="1">
      <alignment horizontal="right"/>
    </xf>
    <xf numFmtId="0" fontId="7" fillId="33" borderId="17" xfId="30" applyBorder="1">
      <alignment horizontal="right"/>
    </xf>
    <xf numFmtId="10" fontId="8" fillId="34" borderId="18" xfId="74" applyNumberFormat="1" applyFont="1" applyFill="1" applyBorder="1" applyAlignment="1" applyProtection="1"/>
    <xf numFmtId="10" fontId="8" fillId="34" borderId="2" xfId="74" applyNumberFormat="1" applyFont="1" applyFill="1" applyBorder="1" applyAlignment="1" applyProtection="1">
      <alignment horizontal="right"/>
    </xf>
    <xf numFmtId="10" fontId="8" fillId="35" borderId="2" xfId="74" applyNumberFormat="1" applyFont="1" applyFill="1" applyBorder="1" applyAlignment="1" applyProtection="1">
      <alignment horizontal="right"/>
    </xf>
    <xf numFmtId="10" fontId="0" fillId="0" borderId="0" xfId="74" applyNumberFormat="1" applyFont="1"/>
    <xf numFmtId="0" fontId="3" fillId="34" borderId="18" xfId="37" applyFont="1" applyBorder="1"/>
    <xf numFmtId="9" fontId="1" fillId="34" borderId="2" xfId="74" applyFont="1" applyFill="1" applyBorder="1" applyAlignment="1" applyProtection="1">
      <alignment horizontal="right"/>
    </xf>
    <xf numFmtId="166" fontId="1" fillId="34" borderId="2" xfId="74" applyNumberFormat="1" applyFont="1" applyFill="1" applyBorder="1" applyAlignment="1" applyProtection="1">
      <alignment horizontal="right"/>
    </xf>
    <xf numFmtId="10" fontId="1" fillId="34" borderId="2" xfId="74" applyNumberFormat="1" applyFont="1" applyFill="1" applyBorder="1" applyAlignment="1" applyProtection="1">
      <alignment horizontal="right"/>
    </xf>
    <xf numFmtId="0" fontId="3" fillId="37" borderId="18" xfId="73" applyFill="1"/>
    <xf numFmtId="165" fontId="1" fillId="37" borderId="2" xfId="54" applyFill="1">
      <alignment horizontal="right"/>
    </xf>
    <xf numFmtId="165" fontId="1" fillId="37" borderId="2" xfId="57" applyFill="1">
      <alignment horizontal="right"/>
    </xf>
    <xf numFmtId="10" fontId="3" fillId="37" borderId="18" xfId="74" applyNumberFormat="1" applyFont="1" applyFill="1" applyBorder="1" applyAlignment="1" applyProtection="1"/>
    <xf numFmtId="10" fontId="1" fillId="37" borderId="2" xfId="74" applyNumberFormat="1" applyFont="1" applyFill="1" applyBorder="1" applyAlignment="1" applyProtection="1">
      <alignment horizontal="right"/>
    </xf>
    <xf numFmtId="10" fontId="0" fillId="37" borderId="0" xfId="74" applyNumberFormat="1" applyFont="1" applyFill="1"/>
    <xf numFmtId="0" fontId="4" fillId="37" borderId="18" xfId="71" applyFill="1"/>
    <xf numFmtId="165" fontId="11" fillId="37" borderId="2" xfId="65" applyFill="1">
      <alignment horizontal="right"/>
    </xf>
    <xf numFmtId="165" fontId="11" fillId="37" borderId="2" xfId="66" applyFill="1">
      <alignment horizontal="right"/>
    </xf>
    <xf numFmtId="0" fontId="0" fillId="43" borderId="0" xfId="0" applyFill="1"/>
    <xf numFmtId="9" fontId="0" fillId="43" borderId="0" xfId="74" applyFont="1" applyFill="1"/>
    <xf numFmtId="166" fontId="27" fillId="39" borderId="0" xfId="74" applyNumberFormat="1" applyFont="1" applyFill="1"/>
    <xf numFmtId="10" fontId="27" fillId="39" borderId="0" xfId="74" applyNumberFormat="1" applyFont="1" applyFill="1"/>
    <xf numFmtId="0" fontId="8" fillId="37" borderId="18" xfId="72" applyFill="1"/>
    <xf numFmtId="165" fontId="8" fillId="37" borderId="2" xfId="60" applyFill="1">
      <alignment horizontal="right"/>
    </xf>
    <xf numFmtId="10" fontId="33" fillId="37" borderId="0" xfId="74" applyNumberFormat="1" applyFont="1" applyFill="1"/>
    <xf numFmtId="0" fontId="0" fillId="42" borderId="27" xfId="0" applyFill="1" applyBorder="1" applyAlignment="1">
      <alignment horizontal="center"/>
    </xf>
    <xf numFmtId="0" fontId="0" fillId="42" borderId="28" xfId="0" applyFill="1" applyBorder="1" applyAlignment="1">
      <alignment horizontal="center"/>
    </xf>
    <xf numFmtId="164" fontId="0" fillId="42" borderId="0" xfId="0" applyNumberFormat="1" applyFill="1"/>
    <xf numFmtId="164" fontId="0" fillId="42" borderId="25" xfId="0" applyNumberFormat="1" applyFill="1" applyBorder="1"/>
    <xf numFmtId="164" fontId="0" fillId="42" borderId="25" xfId="0" applyNumberFormat="1" applyFill="1" applyBorder="1" applyAlignment="1">
      <alignment horizontal="center"/>
    </xf>
    <xf numFmtId="0" fontId="0" fillId="42" borderId="0" xfId="0" applyFill="1"/>
    <xf numFmtId="0" fontId="0" fillId="42" borderId="25" xfId="0" applyFill="1" applyBorder="1" applyAlignment="1">
      <alignment horizontal="center"/>
    </xf>
    <xf numFmtId="164" fontId="0" fillId="42" borderId="0" xfId="0" quotePrefix="1" applyNumberFormat="1" applyFill="1"/>
    <xf numFmtId="164" fontId="0" fillId="42" borderId="25" xfId="0" quotePrefix="1" applyNumberFormat="1" applyFill="1" applyBorder="1" applyAlignment="1">
      <alignment horizontal="center"/>
    </xf>
    <xf numFmtId="0" fontId="29" fillId="42" borderId="20" xfId="0" applyFont="1" applyFill="1" applyBorder="1"/>
    <xf numFmtId="10" fontId="34" fillId="40" borderId="0" xfId="74" applyNumberFormat="1" applyFont="1" applyFill="1"/>
    <xf numFmtId="0" fontId="8" fillId="37" borderId="5" xfId="35" applyFill="1"/>
    <xf numFmtId="4" fontId="8" fillId="37" borderId="2" xfId="61" applyFill="1">
      <alignment horizontal="right"/>
    </xf>
    <xf numFmtId="165" fontId="11" fillId="37" borderId="18" xfId="65" applyFill="1" applyBorder="1">
      <alignment horizontal="right"/>
    </xf>
    <xf numFmtId="10" fontId="1" fillId="37" borderId="18" xfId="74" applyNumberFormat="1" applyFont="1" applyFill="1" applyBorder="1" applyAlignment="1" applyProtection="1">
      <alignment horizontal="right"/>
    </xf>
    <xf numFmtId="165" fontId="11" fillId="34" borderId="18" xfId="65" applyBorder="1">
      <alignment horizontal="right"/>
    </xf>
    <xf numFmtId="165" fontId="1" fillId="34" borderId="18" xfId="54" applyBorder="1">
      <alignment horizontal="right"/>
    </xf>
    <xf numFmtId="165" fontId="8" fillId="34" borderId="18" xfId="60" applyBorder="1">
      <alignment horizontal="right"/>
    </xf>
    <xf numFmtId="165" fontId="1" fillId="37" borderId="34" xfId="54" applyFill="1" applyBorder="1">
      <alignment horizontal="right"/>
    </xf>
    <xf numFmtId="10" fontId="1" fillId="37" borderId="34" xfId="74" applyNumberFormat="1" applyFont="1" applyFill="1" applyBorder="1" applyAlignment="1" applyProtection="1">
      <alignment horizontal="right"/>
    </xf>
    <xf numFmtId="165" fontId="11" fillId="34" borderId="34" xfId="65" applyBorder="1">
      <alignment horizontal="right"/>
    </xf>
    <xf numFmtId="165" fontId="1" fillId="34" borderId="34" xfId="54" applyBorder="1">
      <alignment horizontal="right"/>
    </xf>
    <xf numFmtId="165" fontId="8" fillId="34" borderId="34" xfId="60" applyBorder="1">
      <alignment horizontal="right"/>
    </xf>
    <xf numFmtId="165" fontId="11" fillId="37" borderId="29" xfId="65" applyFill="1" applyBorder="1">
      <alignment horizontal="right"/>
    </xf>
    <xf numFmtId="10" fontId="1" fillId="37" borderId="23" xfId="74" applyNumberFormat="1" applyFont="1" applyFill="1" applyBorder="1" applyAlignment="1" applyProtection="1">
      <alignment horizontal="right"/>
    </xf>
    <xf numFmtId="165" fontId="11" fillId="34" borderId="23" xfId="65" applyBorder="1">
      <alignment horizontal="right"/>
    </xf>
    <xf numFmtId="165" fontId="1" fillId="34" borderId="23" xfId="54" applyBorder="1">
      <alignment horizontal="right"/>
    </xf>
    <xf numFmtId="165" fontId="8" fillId="34" borderId="21" xfId="60" applyBorder="1">
      <alignment horizontal="right"/>
    </xf>
    <xf numFmtId="165" fontId="1" fillId="34" borderId="29" xfId="54" applyBorder="1">
      <alignment horizontal="right"/>
    </xf>
    <xf numFmtId="0" fontId="3" fillId="39" borderId="5" xfId="37" applyFont="1" applyFill="1"/>
    <xf numFmtId="165" fontId="1" fillId="39" borderId="2" xfId="54" applyFill="1">
      <alignment horizontal="right"/>
    </xf>
    <xf numFmtId="165" fontId="35" fillId="39" borderId="2" xfId="54" applyFont="1" applyFill="1">
      <alignment horizontal="right"/>
    </xf>
    <xf numFmtId="10" fontId="8" fillId="39" borderId="2" xfId="74" applyNumberFormat="1" applyFont="1" applyFill="1" applyBorder="1" applyAlignment="1" applyProtection="1">
      <alignment horizontal="right"/>
    </xf>
    <xf numFmtId="165" fontId="1" fillId="39" borderId="2" xfId="57" applyFill="1">
      <alignment horizontal="right"/>
    </xf>
    <xf numFmtId="0" fontId="0" fillId="39" borderId="0" xfId="0" applyFill="1"/>
    <xf numFmtId="0" fontId="3" fillId="44" borderId="5" xfId="37" applyFont="1" applyFill="1"/>
    <xf numFmtId="165" fontId="1" fillId="44" borderId="2" xfId="54" applyFill="1">
      <alignment horizontal="right"/>
    </xf>
    <xf numFmtId="165" fontId="1" fillId="44" borderId="2" xfId="57" applyFill="1">
      <alignment horizontal="right"/>
    </xf>
    <xf numFmtId="0" fontId="0" fillId="44" borderId="0" xfId="0" applyFill="1"/>
    <xf numFmtId="0" fontId="36" fillId="44" borderId="5" xfId="35" applyFont="1" applyFill="1"/>
    <xf numFmtId="165" fontId="36" fillId="44" borderId="2" xfId="60" applyFont="1" applyFill="1">
      <alignment horizontal="right"/>
    </xf>
    <xf numFmtId="165" fontId="36" fillId="44" borderId="2" xfId="63" applyFont="1" applyFill="1">
      <alignment horizontal="right"/>
    </xf>
    <xf numFmtId="0" fontId="37" fillId="44" borderId="0" xfId="0" applyFont="1" applyFill="1"/>
    <xf numFmtId="0" fontId="38" fillId="39" borderId="5" xfId="37" applyFont="1" applyFill="1"/>
    <xf numFmtId="165" fontId="38" fillId="39" borderId="2" xfId="54" applyFont="1" applyFill="1">
      <alignment horizontal="right"/>
    </xf>
    <xf numFmtId="165" fontId="38" fillId="39" borderId="2" xfId="57" applyFont="1" applyFill="1">
      <alignment horizontal="right"/>
    </xf>
    <xf numFmtId="0" fontId="39" fillId="39" borderId="0" xfId="0" applyFont="1" applyFill="1"/>
    <xf numFmtId="165" fontId="1" fillId="37" borderId="18" xfId="54" applyFill="1" applyBorder="1">
      <alignment horizontal="right"/>
    </xf>
    <xf numFmtId="165" fontId="1" fillId="37" borderId="23" xfId="54" applyFill="1" applyBorder="1">
      <alignment horizontal="right"/>
    </xf>
    <xf numFmtId="167" fontId="0" fillId="0" borderId="0" xfId="0" applyNumberFormat="1"/>
    <xf numFmtId="0" fontId="3" fillId="45" borderId="18" xfId="73" applyFill="1"/>
    <xf numFmtId="165" fontId="1" fillId="45" borderId="2" xfId="54" applyFill="1">
      <alignment horizontal="right"/>
    </xf>
    <xf numFmtId="165" fontId="1" fillId="45" borderId="18" xfId="54" applyFill="1" applyBorder="1">
      <alignment horizontal="right"/>
    </xf>
    <xf numFmtId="165" fontId="1" fillId="45" borderId="29" xfId="54" applyFill="1" applyBorder="1">
      <alignment horizontal="right"/>
    </xf>
    <xf numFmtId="165" fontId="1" fillId="45" borderId="34" xfId="54" applyFill="1" applyBorder="1">
      <alignment horizontal="right"/>
    </xf>
    <xf numFmtId="165" fontId="1" fillId="45" borderId="2" xfId="57" applyFill="1">
      <alignment horizontal="right"/>
    </xf>
    <xf numFmtId="0" fontId="0" fillId="45" borderId="0" xfId="0" applyFill="1"/>
    <xf numFmtId="0" fontId="29" fillId="42" borderId="0" xfId="0" applyFont="1" applyFill="1"/>
    <xf numFmtId="0" fontId="29" fillId="42" borderId="25" xfId="0" applyFont="1" applyFill="1" applyBorder="1"/>
    <xf numFmtId="164" fontId="0" fillId="0" borderId="0" xfId="75" applyFont="1" applyBorder="1"/>
    <xf numFmtId="2" fontId="0" fillId="0" borderId="0" xfId="0" applyNumberFormat="1"/>
    <xf numFmtId="164" fontId="0" fillId="0" borderId="27" xfId="0" applyNumberFormat="1" applyBorder="1"/>
    <xf numFmtId="164" fontId="0" fillId="0" borderId="26" xfId="0" applyNumberFormat="1" applyBorder="1"/>
    <xf numFmtId="0" fontId="40" fillId="42" borderId="24" xfId="0" applyFont="1" applyFill="1" applyBorder="1"/>
    <xf numFmtId="0" fontId="40" fillId="42" borderId="20" xfId="0" applyFont="1" applyFill="1" applyBorder="1"/>
    <xf numFmtId="2" fontId="0" fillId="0" borderId="22" xfId="0" applyNumberFormat="1" applyBorder="1"/>
    <xf numFmtId="0" fontId="40" fillId="42" borderId="19" xfId="0" applyFont="1" applyFill="1" applyBorder="1"/>
    <xf numFmtId="0" fontId="32" fillId="37" borderId="28" xfId="0" applyFont="1" applyFill="1" applyBorder="1"/>
    <xf numFmtId="0" fontId="27" fillId="37" borderId="27" xfId="0" applyFont="1" applyFill="1" applyBorder="1"/>
    <xf numFmtId="0" fontId="0" fillId="0" borderId="27" xfId="0" applyBorder="1"/>
    <xf numFmtId="0" fontId="0" fillId="0" borderId="25" xfId="0" quotePrefix="1" applyBorder="1"/>
    <xf numFmtId="0" fontId="31" fillId="38" borderId="24" xfId="0" applyFont="1" applyFill="1" applyBorder="1"/>
    <xf numFmtId="164" fontId="31" fillId="38" borderId="20" xfId="0" applyNumberFormat="1" applyFont="1" applyFill="1" applyBorder="1"/>
    <xf numFmtId="0" fontId="27" fillId="37" borderId="26" xfId="0" applyFont="1" applyFill="1" applyBorder="1"/>
    <xf numFmtId="164" fontId="0" fillId="0" borderId="22" xfId="75" applyFont="1" applyBorder="1"/>
    <xf numFmtId="0" fontId="31" fillId="38" borderId="25" xfId="0" applyFont="1" applyFill="1" applyBorder="1"/>
    <xf numFmtId="164" fontId="31" fillId="38" borderId="0" xfId="0" applyNumberFormat="1" applyFont="1" applyFill="1"/>
    <xf numFmtId="0" fontId="41" fillId="34" borderId="0" xfId="73" applyFont="1" applyBorder="1"/>
    <xf numFmtId="0" fontId="34" fillId="46" borderId="0" xfId="0" applyFont="1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33" fillId="49" borderId="0" xfId="0" applyFont="1" applyFill="1"/>
    <xf numFmtId="0" fontId="31" fillId="37" borderId="0" xfId="0" applyFont="1" applyFill="1"/>
    <xf numFmtId="0" fontId="42" fillId="0" borderId="0" xfId="76"/>
    <xf numFmtId="168" fontId="42" fillId="0" borderId="0" xfId="76" applyNumberFormat="1"/>
    <xf numFmtId="169" fontId="42" fillId="0" borderId="0" xfId="76" applyNumberFormat="1"/>
    <xf numFmtId="167" fontId="29" fillId="37" borderId="0" xfId="0" applyNumberFormat="1" applyFont="1" applyFill="1"/>
    <xf numFmtId="2" fontId="31" fillId="37" borderId="0" xfId="0" applyNumberFormat="1" applyFont="1" applyFill="1"/>
    <xf numFmtId="0" fontId="43" fillId="0" borderId="0" xfId="76" applyFont="1"/>
    <xf numFmtId="4" fontId="1" fillId="34" borderId="18" xfId="55" applyBorder="1">
      <alignment horizontal="right"/>
    </xf>
    <xf numFmtId="4" fontId="1" fillId="34" borderId="37" xfId="55" applyBorder="1">
      <alignment horizontal="right"/>
    </xf>
    <xf numFmtId="4" fontId="1" fillId="34" borderId="38" xfId="55" applyBorder="1">
      <alignment horizontal="right"/>
    </xf>
    <xf numFmtId="4" fontId="1" fillId="34" borderId="39" xfId="55" applyBorder="1">
      <alignment horizontal="right"/>
    </xf>
    <xf numFmtId="4" fontId="1" fillId="34" borderId="40" xfId="55" applyBorder="1">
      <alignment horizontal="right"/>
    </xf>
    <xf numFmtId="4" fontId="1" fillId="34" borderId="41" xfId="55" applyBorder="1">
      <alignment horizontal="right"/>
    </xf>
    <xf numFmtId="166" fontId="0" fillId="0" borderId="0" xfId="74" applyNumberFormat="1" applyFont="1" applyBorder="1"/>
    <xf numFmtId="166" fontId="0" fillId="0" borderId="0" xfId="74" applyNumberFormat="1" applyFont="1" applyFill="1" applyBorder="1"/>
    <xf numFmtId="166" fontId="0" fillId="0" borderId="0" xfId="0" applyNumberFormat="1"/>
    <xf numFmtId="9" fontId="0" fillId="0" borderId="0" xfId="0" applyNumberFormat="1"/>
    <xf numFmtId="0" fontId="45" fillId="0" borderId="0" xfId="76" applyFont="1" applyAlignment="1">
      <alignment horizontal="center"/>
    </xf>
    <xf numFmtId="0" fontId="42" fillId="43" borderId="0" xfId="76" applyFill="1"/>
    <xf numFmtId="0" fontId="43" fillId="43" borderId="0" xfId="76" applyFont="1" applyFill="1"/>
    <xf numFmtId="0" fontId="43" fillId="37" borderId="32" xfId="76" applyFont="1" applyFill="1" applyBorder="1"/>
    <xf numFmtId="2" fontId="43" fillId="37" borderId="30" xfId="76" applyNumberFormat="1" applyFont="1" applyFill="1" applyBorder="1"/>
    <xf numFmtId="164" fontId="42" fillId="43" borderId="31" xfId="76" applyNumberFormat="1" applyFill="1" applyBorder="1" applyAlignment="1">
      <alignment horizontal="center"/>
    </xf>
    <xf numFmtId="164" fontId="42" fillId="43" borderId="31" xfId="76" applyNumberFormat="1" applyFill="1" applyBorder="1"/>
    <xf numFmtId="0" fontId="44" fillId="0" borderId="25" xfId="76" applyFont="1" applyBorder="1"/>
    <xf numFmtId="0" fontId="42" fillId="0" borderId="0" xfId="76" applyAlignment="1">
      <alignment horizontal="center"/>
    </xf>
    <xf numFmtId="164" fontId="42" fillId="0" borderId="0" xfId="75" applyFont="1" applyBorder="1" applyAlignment="1">
      <alignment horizontal="center"/>
    </xf>
    <xf numFmtId="164" fontId="42" fillId="43" borderId="0" xfId="76" applyNumberFormat="1" applyFill="1" applyAlignment="1">
      <alignment horizontal="center"/>
    </xf>
    <xf numFmtId="164" fontId="42" fillId="0" borderId="0" xfId="75" applyFont="1" applyBorder="1"/>
    <xf numFmtId="164" fontId="42" fillId="43" borderId="0" xfId="76" applyNumberFormat="1" applyFill="1"/>
    <xf numFmtId="2" fontId="42" fillId="0" borderId="22" xfId="76" applyNumberFormat="1" applyBorder="1"/>
    <xf numFmtId="0" fontId="42" fillId="0" borderId="25" xfId="76" applyBorder="1"/>
    <xf numFmtId="0" fontId="42" fillId="0" borderId="22" xfId="76" applyBorder="1"/>
    <xf numFmtId="0" fontId="42" fillId="0" borderId="24" xfId="76" applyBorder="1"/>
    <xf numFmtId="0" fontId="42" fillId="0" borderId="20" xfId="76" applyBorder="1"/>
    <xf numFmtId="0" fontId="42" fillId="0" borderId="19" xfId="76" applyBorder="1"/>
    <xf numFmtId="0" fontId="44" fillId="43" borderId="32" xfId="76" applyFont="1" applyFill="1" applyBorder="1"/>
    <xf numFmtId="0" fontId="42" fillId="43" borderId="31" xfId="76" applyFill="1" applyBorder="1" applyAlignment="1">
      <alignment horizontal="center"/>
    </xf>
    <xf numFmtId="164" fontId="42" fillId="43" borderId="31" xfId="75" applyFont="1" applyFill="1" applyBorder="1" applyAlignment="1">
      <alignment horizontal="center"/>
    </xf>
    <xf numFmtId="164" fontId="42" fillId="43" borderId="31" xfId="75" applyFont="1" applyFill="1" applyBorder="1"/>
    <xf numFmtId="2" fontId="42" fillId="43" borderId="30" xfId="76" applyNumberFormat="1" applyFill="1" applyBorder="1"/>
    <xf numFmtId="0" fontId="45" fillId="37" borderId="28" xfId="76" applyFont="1" applyFill="1" applyBorder="1" applyAlignment="1">
      <alignment horizontal="center"/>
    </xf>
    <xf numFmtId="0" fontId="45" fillId="37" borderId="27" xfId="76" applyFont="1" applyFill="1" applyBorder="1" applyAlignment="1">
      <alignment horizontal="center"/>
    </xf>
    <xf numFmtId="0" fontId="45" fillId="37" borderId="26" xfId="76" applyFont="1" applyFill="1" applyBorder="1" applyAlignment="1">
      <alignment horizontal="center"/>
    </xf>
    <xf numFmtId="0" fontId="42" fillId="0" borderId="28" xfId="76" applyBorder="1"/>
    <xf numFmtId="164" fontId="42" fillId="0" borderId="26" xfId="76" applyNumberFormat="1" applyBorder="1"/>
    <xf numFmtId="164" fontId="42" fillId="0" borderId="22" xfId="75" applyFont="1" applyBorder="1"/>
    <xf numFmtId="164" fontId="42" fillId="0" borderId="22" xfId="76" applyNumberFormat="1" applyBorder="1"/>
    <xf numFmtId="164" fontId="42" fillId="0" borderId="19" xfId="76" applyNumberFormat="1" applyBorder="1"/>
    <xf numFmtId="170" fontId="0" fillId="0" borderId="0" xfId="0" applyNumberFormat="1"/>
    <xf numFmtId="164" fontId="0" fillId="37" borderId="33" xfId="0" applyNumberFormat="1" applyFill="1" applyBorder="1"/>
    <xf numFmtId="0" fontId="0" fillId="0" borderId="31" xfId="0" applyBorder="1"/>
    <xf numFmtId="166" fontId="0" fillId="0" borderId="0" xfId="74" applyNumberFormat="1" applyFont="1"/>
    <xf numFmtId="10" fontId="0" fillId="0" borderId="23" xfId="0" applyNumberFormat="1" applyBorder="1"/>
    <xf numFmtId="0" fontId="0" fillId="0" borderId="30" xfId="0" applyBorder="1"/>
    <xf numFmtId="171" fontId="0" fillId="0" borderId="23" xfId="74" applyNumberFormat="1" applyFont="1" applyBorder="1"/>
    <xf numFmtId="0" fontId="0" fillId="45" borderId="31" xfId="0" applyFill="1" applyBorder="1"/>
    <xf numFmtId="4" fontId="0" fillId="45" borderId="31" xfId="0" applyNumberFormat="1" applyFill="1" applyBorder="1"/>
    <xf numFmtId="10" fontId="0" fillId="45" borderId="23" xfId="0" applyNumberFormat="1" applyFill="1" applyBorder="1"/>
    <xf numFmtId="171" fontId="0" fillId="45" borderId="23" xfId="74" applyNumberFormat="1" applyFont="1" applyFill="1" applyBorder="1"/>
    <xf numFmtId="0" fontId="0" fillId="45" borderId="25" xfId="0" applyFill="1" applyBorder="1"/>
    <xf numFmtId="0" fontId="0" fillId="45" borderId="24" xfId="0" applyFill="1" applyBorder="1"/>
    <xf numFmtId="0" fontId="0" fillId="45" borderId="20" xfId="0" applyFill="1" applyBorder="1"/>
    <xf numFmtId="171" fontId="0" fillId="0" borderId="21" xfId="74" applyNumberFormat="1" applyFont="1" applyBorder="1"/>
    <xf numFmtId="0" fontId="0" fillId="37" borderId="25" xfId="0" applyFill="1" applyBorder="1"/>
    <xf numFmtId="0" fontId="0" fillId="37" borderId="22" xfId="0" applyFill="1" applyBorder="1"/>
    <xf numFmtId="0" fontId="0" fillId="37" borderId="24" xfId="0" applyFill="1" applyBorder="1"/>
    <xf numFmtId="0" fontId="0" fillId="37" borderId="19" xfId="0" applyFill="1" applyBorder="1"/>
    <xf numFmtId="0" fontId="0" fillId="50" borderId="26" xfId="0" applyFill="1" applyBorder="1"/>
    <xf numFmtId="0" fontId="0" fillId="50" borderId="22" xfId="0" applyFill="1" applyBorder="1"/>
    <xf numFmtId="0" fontId="0" fillId="50" borderId="19" xfId="0" applyFill="1" applyBorder="1"/>
    <xf numFmtId="0" fontId="0" fillId="50" borderId="28" xfId="0" applyFill="1" applyBorder="1"/>
    <xf numFmtId="0" fontId="0" fillId="50" borderId="27" xfId="0" applyFill="1" applyBorder="1"/>
    <xf numFmtId="164" fontId="42" fillId="0" borderId="0" xfId="76" applyNumberFormat="1"/>
    <xf numFmtId="164" fontId="42" fillId="0" borderId="31" xfId="76" applyNumberFormat="1" applyBorder="1"/>
    <xf numFmtId="164" fontId="42" fillId="0" borderId="30" xfId="76" applyNumberFormat="1" applyBorder="1"/>
    <xf numFmtId="2" fontId="42" fillId="37" borderId="33" xfId="76" applyNumberFormat="1" applyFill="1" applyBorder="1"/>
    <xf numFmtId="164" fontId="42" fillId="45" borderId="31" xfId="76" applyNumberFormat="1" applyFill="1" applyBorder="1"/>
    <xf numFmtId="0" fontId="42" fillId="45" borderId="0" xfId="76" applyFill="1"/>
    <xf numFmtId="164" fontId="42" fillId="0" borderId="23" xfId="75" applyFont="1" applyBorder="1"/>
    <xf numFmtId="164" fontId="42" fillId="0" borderId="21" xfId="75" applyFont="1" applyBorder="1"/>
    <xf numFmtId="164" fontId="42" fillId="45" borderId="23" xfId="75" applyFont="1" applyFill="1" applyBorder="1"/>
    <xf numFmtId="0" fontId="42" fillId="45" borderId="28" xfId="76" applyFill="1" applyBorder="1"/>
    <xf numFmtId="0" fontId="42" fillId="45" borderId="27" xfId="76" applyFill="1" applyBorder="1"/>
    <xf numFmtId="0" fontId="42" fillId="45" borderId="26" xfId="76" applyFill="1" applyBorder="1"/>
    <xf numFmtId="0" fontId="42" fillId="45" borderId="25" xfId="76" applyFill="1" applyBorder="1"/>
    <xf numFmtId="0" fontId="42" fillId="45" borderId="22" xfId="76" applyFill="1" applyBorder="1"/>
    <xf numFmtId="0" fontId="42" fillId="45" borderId="24" xfId="76" applyFill="1" applyBorder="1"/>
    <xf numFmtId="0" fontId="42" fillId="45" borderId="20" xfId="76" applyFill="1" applyBorder="1"/>
    <xf numFmtId="0" fontId="42" fillId="45" borderId="19" xfId="76" applyFill="1" applyBorder="1"/>
    <xf numFmtId="0" fontId="42" fillId="37" borderId="33" xfId="76" applyFill="1" applyBorder="1"/>
    <xf numFmtId="0" fontId="42" fillId="37" borderId="32" xfId="76" applyFill="1" applyBorder="1"/>
    <xf numFmtId="0" fontId="42" fillId="37" borderId="30" xfId="76" applyFill="1" applyBorder="1"/>
    <xf numFmtId="0" fontId="0" fillId="0" borderId="23" xfId="0" applyBorder="1"/>
    <xf numFmtId="0" fontId="0" fillId="0" borderId="21" xfId="0" applyBorder="1"/>
    <xf numFmtId="166" fontId="0" fillId="43" borderId="31" xfId="74" applyNumberFormat="1" applyFont="1" applyFill="1" applyBorder="1"/>
    <xf numFmtId="10" fontId="0" fillId="43" borderId="31" xfId="0" applyNumberFormat="1" applyFill="1" applyBorder="1"/>
    <xf numFmtId="0" fontId="27" fillId="37" borderId="28" xfId="0" applyFont="1" applyFill="1" applyBorder="1"/>
    <xf numFmtId="0" fontId="27" fillId="37" borderId="25" xfId="0" applyFont="1" applyFill="1" applyBorder="1"/>
    <xf numFmtId="0" fontId="27" fillId="37" borderId="22" xfId="0" applyFont="1" applyFill="1" applyBorder="1"/>
    <xf numFmtId="0" fontId="27" fillId="37" borderId="24" xfId="0" applyFont="1" applyFill="1" applyBorder="1"/>
    <xf numFmtId="0" fontId="27" fillId="37" borderId="19" xfId="0" applyFont="1" applyFill="1" applyBorder="1"/>
    <xf numFmtId="0" fontId="46" fillId="37" borderId="32" xfId="0" applyFont="1" applyFill="1" applyBorder="1"/>
    <xf numFmtId="0" fontId="46" fillId="37" borderId="30" xfId="0" applyFont="1" applyFill="1" applyBorder="1"/>
    <xf numFmtId="0" fontId="29" fillId="42" borderId="35" xfId="0" applyFont="1" applyFill="1" applyBorder="1" applyAlignment="1">
      <alignment horizontal="center"/>
    </xf>
    <xf numFmtId="0" fontId="29" fillId="42" borderId="36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47" fillId="51" borderId="0" xfId="0" applyFont="1" applyFill="1" applyAlignment="1">
      <alignment horizontal="center" vertical="center"/>
    </xf>
  </cellXfs>
  <cellStyles count="7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Comma" xfId="75" builtinId="3"/>
    <cellStyle name="Explanatory Text" xfId="29" builtinId="53" customBuiltin="1"/>
    <cellStyle name="fa_column_header_bottom" xfId="30" xr:uid="{00000000-0005-0000-0000-00001F000000}"/>
    <cellStyle name="fa_column_header_bottom 2" xfId="70" xr:uid="{00000000-0005-0000-0000-000020000000}"/>
    <cellStyle name="fa_column_header_bottom_left" xfId="52" xr:uid="{00000000-0005-0000-0000-000021000000}"/>
    <cellStyle name="fa_column_header_bottom_left 2" xfId="69" xr:uid="{00000000-0005-0000-0000-000022000000}"/>
    <cellStyle name="fa_column_header_empty" xfId="31" xr:uid="{00000000-0005-0000-0000-000023000000}"/>
    <cellStyle name="fa_column_header_top" xfId="32" xr:uid="{00000000-0005-0000-0000-000024000000}"/>
    <cellStyle name="fa_column_header_top 2" xfId="68" xr:uid="{00000000-0005-0000-0000-000025000000}"/>
    <cellStyle name="fa_column_header_top_left" xfId="33" xr:uid="{00000000-0005-0000-0000-000026000000}"/>
    <cellStyle name="fa_column_header_top_left 2" xfId="67" xr:uid="{00000000-0005-0000-0000-000027000000}"/>
    <cellStyle name="fa_data_bold_0_grouped" xfId="59" xr:uid="{00000000-0005-0000-0000-000028000000}"/>
    <cellStyle name="fa_data_bold_1_grouped" xfId="60" xr:uid="{00000000-0005-0000-0000-000029000000}"/>
    <cellStyle name="fa_data_bold_2_grouped" xfId="61" xr:uid="{00000000-0005-0000-0000-00002A000000}"/>
    <cellStyle name="fa_data_current_bold_0_grouped" xfId="62" xr:uid="{00000000-0005-0000-0000-00002B000000}"/>
    <cellStyle name="fa_data_current_bold_1_grouped" xfId="63" xr:uid="{00000000-0005-0000-0000-00002C000000}"/>
    <cellStyle name="fa_data_current_bold_2_grouped" xfId="64" xr:uid="{00000000-0005-0000-0000-00002D000000}"/>
    <cellStyle name="fa_data_current_italic_1_grouped" xfId="66" xr:uid="{00000000-0005-0000-0000-00002E000000}"/>
    <cellStyle name="fa_data_current_standard_0_grouped" xfId="56" xr:uid="{00000000-0005-0000-0000-00002F000000}"/>
    <cellStyle name="fa_data_current_standard_1_grouped" xfId="57" xr:uid="{00000000-0005-0000-0000-000030000000}"/>
    <cellStyle name="fa_data_current_standard_2_grouped" xfId="58" xr:uid="{00000000-0005-0000-0000-000031000000}"/>
    <cellStyle name="fa_data_italic_1_grouped" xfId="65" xr:uid="{00000000-0005-0000-0000-000032000000}"/>
    <cellStyle name="fa_data_standard_0_grouped" xfId="53" xr:uid="{00000000-0005-0000-0000-000033000000}"/>
    <cellStyle name="fa_data_standard_1_grouped" xfId="54" xr:uid="{00000000-0005-0000-0000-000034000000}"/>
    <cellStyle name="fa_data_standard_2_grouped" xfId="55" xr:uid="{00000000-0005-0000-0000-000035000000}"/>
    <cellStyle name="fa_footer_italic" xfId="34" xr:uid="{00000000-0005-0000-0000-000036000000}"/>
    <cellStyle name="fa_row_header_bold" xfId="35" xr:uid="{00000000-0005-0000-0000-000037000000}"/>
    <cellStyle name="fa_row_header_bold 2" xfId="72" xr:uid="{00000000-0005-0000-0000-000038000000}"/>
    <cellStyle name="fa_row_header_italic" xfId="36" xr:uid="{00000000-0005-0000-0000-000039000000}"/>
    <cellStyle name="fa_row_header_italic 2" xfId="71" xr:uid="{00000000-0005-0000-0000-00003A000000}"/>
    <cellStyle name="fa_row_header_standard" xfId="37" xr:uid="{00000000-0005-0000-0000-00003B000000}"/>
    <cellStyle name="fa_row_header_standard 2" xfId="73" xr:uid="{00000000-0005-0000-0000-00003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rmal 2" xfId="76" xr:uid="{00000000-0005-0000-0000-000046000000}"/>
    <cellStyle name="Note" xfId="46" builtinId="10" customBuiltin="1"/>
    <cellStyle name="Output" xfId="47" builtinId="21" customBuiltin="1"/>
    <cellStyle name="Percent" xfId="74" builtinId="5"/>
    <cellStyle name="Title" xfId="48" builtinId="15" customBuiltin="1"/>
    <cellStyle name="Total" xfId="49" builtinId="25" customBuiltin="1"/>
    <cellStyle name="Warning Text" xfId="50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Z-Score vs O-Score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0377095720179"/>
          <c:y val="0.18300925925925926"/>
          <c:w val="0.75791354652097054"/>
          <c:h val="0.70232976086322529"/>
        </c:manualLayout>
      </c:layout>
      <c:lineChart>
        <c:grouping val="standard"/>
        <c:varyColors val="0"/>
        <c:ser>
          <c:idx val="0"/>
          <c:order val="0"/>
          <c:tx>
            <c:v>Z-Score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6"/>
              <c:layout>
                <c:manualLayout>
                  <c:x val="-5.9863945578231291E-2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4D-4EAA-A3E6-50D7FEB6CA96}"/>
                </c:ext>
              </c:extLst>
            </c:dLbl>
            <c:dLbl>
              <c:idx val="8"/>
              <c:layout>
                <c:manualLayout>
                  <c:x val="-4.6258503401360646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4D-4EAA-A3E6-50D7FEB6CA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Credit!$F$44:$N$44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Credit!$F$39:$N$39</c:f>
              <c:numCache>
                <c:formatCode>0.00</c:formatCode>
                <c:ptCount val="9"/>
                <c:pt idx="0">
                  <c:v>11.937134636479151</c:v>
                </c:pt>
                <c:pt idx="1">
                  <c:v>6.8314727511498532</c:v>
                </c:pt>
                <c:pt idx="2">
                  <c:v>10.839978253453854</c:v>
                </c:pt>
                <c:pt idx="3">
                  <c:v>10.941659848977638</c:v>
                </c:pt>
                <c:pt idx="4">
                  <c:v>8.9787976662252511</c:v>
                </c:pt>
                <c:pt idx="5">
                  <c:v>9.7013711756601797</c:v>
                </c:pt>
                <c:pt idx="6">
                  <c:v>16.11827033839662</c:v>
                </c:pt>
                <c:pt idx="7">
                  <c:v>13.719007771200706</c:v>
                </c:pt>
                <c:pt idx="8">
                  <c:v>12.280338499218255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4D-4EAA-A3E6-50D7FEB6C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958816"/>
        <c:axId val="510957696"/>
      </c:lineChart>
      <c:lineChart>
        <c:grouping val="standard"/>
        <c:varyColors val="0"/>
        <c:ser>
          <c:idx val="1"/>
          <c:order val="1"/>
          <c:tx>
            <c:v>O-Score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7"/>
              <c:layout>
                <c:manualLayout>
                  <c:x val="-5.4421768707482991E-2"/>
                  <c:y val="5.09259259259257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4D-4EAA-A3E6-50D7FEB6CA96}"/>
                </c:ext>
              </c:extLst>
            </c:dLbl>
            <c:dLbl>
              <c:idx val="8"/>
              <c:layout>
                <c:manualLayout>
                  <c:x val="-0.1061224489795919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4D-4EAA-A3E6-50D7FEB6CA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Credit!$F$44:$N$44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Credit!$F$72:$N$72</c:f>
              <c:numCache>
                <c:formatCode>0.000</c:formatCode>
                <c:ptCount val="9"/>
                <c:pt idx="0">
                  <c:v>4.2589935793447949E-2</c:v>
                </c:pt>
                <c:pt idx="1">
                  <c:v>4.0015631602892406E-2</c:v>
                </c:pt>
                <c:pt idx="2">
                  <c:v>0.12215604180685903</c:v>
                </c:pt>
                <c:pt idx="3">
                  <c:v>1.0358235651480001E-2</c:v>
                </c:pt>
                <c:pt idx="4">
                  <c:v>5.9376028843075995E-2</c:v>
                </c:pt>
                <c:pt idx="5">
                  <c:v>6.2197793242666589E-2</c:v>
                </c:pt>
                <c:pt idx="6">
                  <c:v>4.526818168985889E-2</c:v>
                </c:pt>
                <c:pt idx="7">
                  <c:v>3.020342218487982E-2</c:v>
                </c:pt>
                <c:pt idx="8">
                  <c:v>6.6844970386215452E-2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4D-4EAA-A3E6-50D7FEB6C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953216"/>
        <c:axId val="510952656"/>
      </c:lineChart>
      <c:catAx>
        <c:axId val="5109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57696"/>
        <c:crosses val="autoZero"/>
        <c:auto val="1"/>
        <c:lblAlgn val="ctr"/>
        <c:lblOffset val="100"/>
        <c:noMultiLvlLbl val="0"/>
      </c:catAx>
      <c:valAx>
        <c:axId val="51095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58816"/>
        <c:crosses val="autoZero"/>
        <c:crossBetween val="between"/>
      </c:valAx>
      <c:valAx>
        <c:axId val="510952656"/>
        <c:scaling>
          <c:orientation val="minMax"/>
        </c:scaling>
        <c:delete val="0"/>
        <c:axPos val="r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53216"/>
        <c:crosses val="max"/>
        <c:crossBetween val="between"/>
      </c:valAx>
      <c:catAx>
        <c:axId val="510953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0952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031817451390002"/>
          <c:y val="0.19161964129483813"/>
          <c:w val="0.15619335253478661"/>
          <c:h val="0.15048214920879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A4-47E7-BF7E-96FF4263B6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A4-47E7-BF7E-96FF4263B6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A4-47E7-BF7E-96FF4263B6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A4-47E7-BF7E-96FF4263B6C1}"/>
              </c:ext>
            </c:extLst>
          </c:dPt>
          <c:dLbls>
            <c:dLbl>
              <c:idx val="0"/>
              <c:layout>
                <c:manualLayout>
                  <c:x val="-0.10706355498652724"/>
                  <c:y val="-0.257367404546129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A4-47E7-BF7E-96FF4263B6C1}"/>
                </c:ext>
              </c:extLst>
            </c:dLbl>
            <c:dLbl>
              <c:idx val="1"/>
              <c:layout>
                <c:manualLayout>
                  <c:x val="0.11805017999389307"/>
                  <c:y val="0.1211697122765314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A4-47E7-BF7E-96FF4263B6C1}"/>
                </c:ext>
              </c:extLst>
            </c:dLbl>
            <c:dLbl>
              <c:idx val="2"/>
              <c:layout>
                <c:manualLayout>
                  <c:x val="5.6287510643194642E-2"/>
                  <c:y val="0.1239410627924461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A4-47E7-BF7E-96FF4263B6C1}"/>
                </c:ext>
              </c:extLst>
            </c:dLbl>
            <c:dLbl>
              <c:idx val="3"/>
              <c:layout>
                <c:manualLayout>
                  <c:x val="2.6250525410219716E-2"/>
                  <c:y val="0.1059619264118414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A4-47E7-BF7E-96FF4263B6C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Credit!$A$85:$A$88</c:f>
              <c:strCache>
                <c:ptCount val="4"/>
                <c:pt idx="0">
                  <c:v>Invisalign Full</c:v>
                </c:pt>
                <c:pt idx="1">
                  <c:v>Invisalign Express</c:v>
                </c:pt>
                <c:pt idx="2">
                  <c:v>Invisalign Non-Case</c:v>
                </c:pt>
                <c:pt idx="3">
                  <c:v>Scanners and Services</c:v>
                </c:pt>
              </c:strCache>
            </c:strRef>
          </c:cat>
          <c:val>
            <c:numRef>
              <c:f>Credit!$B$85:$B$88</c:f>
              <c:numCache>
                <c:formatCode>0%</c:formatCode>
                <c:ptCount val="4"/>
                <c:pt idx="0">
                  <c:v>0.78</c:v>
                </c:pt>
                <c:pt idx="1">
                  <c:v>0.11</c:v>
                </c:pt>
                <c:pt idx="2">
                  <c:v>0.06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A4-47E7-BF7E-96FF4263B6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85557007762672"/>
          <c:y val="2.040675639174739E-2"/>
          <c:w val="0.34119287649630592"/>
          <c:h val="0.5248574627119780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75</xdr:row>
      <xdr:rowOff>-1</xdr:rowOff>
    </xdr:from>
    <xdr:to>
      <xdr:col>20</xdr:col>
      <xdr:colOff>340178</xdr:colOff>
      <xdr:row>95</xdr:row>
      <xdr:rowOff>58511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585106</xdr:colOff>
      <xdr:row>76</xdr:row>
      <xdr:rowOff>0</xdr:rowOff>
    </xdr:from>
    <xdr:to>
      <xdr:col>11</xdr:col>
      <xdr:colOff>299356</xdr:colOff>
      <xdr:row>101</xdr:row>
      <xdr:rowOff>24493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"/>
  <sheetViews>
    <sheetView zoomScale="85" zoomScaleNormal="85" workbookViewId="0">
      <selection activeCell="F8" sqref="F8"/>
    </sheetView>
  </sheetViews>
  <sheetFormatPr defaultRowHeight="14.5" x14ac:dyDescent="0.35"/>
  <cols>
    <col min="1" max="1" width="35.1796875" customWidth="1"/>
    <col min="2" max="2" width="0" hidden="1" customWidth="1"/>
    <col min="3" max="22" width="11.81640625" customWidth="1"/>
  </cols>
  <sheetData>
    <row r="1" spans="1:22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2" ht="20" x14ac:dyDescent="0.35">
      <c r="A2" s="57" t="s">
        <v>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1:22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</row>
    <row r="4" spans="1:22" x14ac:dyDescent="0.35">
      <c r="A4" s="52" t="s">
        <v>4</v>
      </c>
      <c r="B4" s="52"/>
      <c r="C4" s="53" t="s">
        <v>5</v>
      </c>
      <c r="D4" s="53" t="s">
        <v>6</v>
      </c>
      <c r="E4" s="53" t="s">
        <v>7</v>
      </c>
      <c r="F4" s="53" t="s">
        <v>8</v>
      </c>
      <c r="G4" s="53" t="s">
        <v>9</v>
      </c>
      <c r="H4" s="53" t="s">
        <v>10</v>
      </c>
      <c r="I4" s="53" t="s">
        <v>11</v>
      </c>
      <c r="J4" s="53" t="s">
        <v>12</v>
      </c>
      <c r="K4" s="53" t="s">
        <v>13</v>
      </c>
      <c r="L4" s="75"/>
      <c r="M4" s="75"/>
      <c r="N4" s="75"/>
      <c r="O4" s="75"/>
      <c r="P4" s="75"/>
      <c r="Q4" s="75"/>
      <c r="R4" s="75"/>
      <c r="S4" s="75"/>
      <c r="T4" s="53" t="s">
        <v>14</v>
      </c>
      <c r="U4" s="53" t="s">
        <v>15</v>
      </c>
      <c r="V4" s="53" t="s">
        <v>16</v>
      </c>
    </row>
    <row r="5" spans="1:22" x14ac:dyDescent="0.35">
      <c r="A5" s="58" t="s">
        <v>17</v>
      </c>
      <c r="B5" s="58"/>
      <c r="C5" s="54" t="s">
        <v>18</v>
      </c>
      <c r="D5" s="54" t="s">
        <v>19</v>
      </c>
      <c r="E5" s="54" t="s">
        <v>20</v>
      </c>
      <c r="F5" s="54" t="s">
        <v>21</v>
      </c>
      <c r="G5" s="54" t="s">
        <v>22</v>
      </c>
      <c r="H5" s="54" t="s">
        <v>23</v>
      </c>
      <c r="I5" s="54" t="s">
        <v>24</v>
      </c>
      <c r="J5" s="54" t="s">
        <v>25</v>
      </c>
      <c r="K5" s="54" t="s">
        <v>26</v>
      </c>
      <c r="L5" s="76">
        <v>2016</v>
      </c>
      <c r="M5" s="76">
        <v>2017</v>
      </c>
      <c r="N5" s="76">
        <v>2018</v>
      </c>
      <c r="O5" s="76">
        <v>2019</v>
      </c>
      <c r="P5" s="76">
        <v>2020</v>
      </c>
      <c r="Q5" s="76" t="s">
        <v>506</v>
      </c>
      <c r="R5" s="76" t="s">
        <v>507</v>
      </c>
      <c r="S5" s="76"/>
      <c r="T5" s="54" t="s">
        <v>27</v>
      </c>
      <c r="U5" s="54" t="s">
        <v>28</v>
      </c>
      <c r="V5" s="54" t="s">
        <v>29</v>
      </c>
    </row>
    <row r="6" spans="1:22" s="143" customFormat="1" ht="15.5" x14ac:dyDescent="0.35">
      <c r="A6" s="140" t="s">
        <v>0</v>
      </c>
      <c r="B6" s="140" t="s">
        <v>30</v>
      </c>
      <c r="C6" s="141">
        <v>284.33199999999999</v>
      </c>
      <c r="D6" s="141">
        <v>303.976</v>
      </c>
      <c r="E6" s="141">
        <v>312.33300000000003</v>
      </c>
      <c r="F6" s="141">
        <v>387.12599999999998</v>
      </c>
      <c r="G6" s="141">
        <v>479.74099999999999</v>
      </c>
      <c r="H6" s="141">
        <v>560.04100000000005</v>
      </c>
      <c r="I6" s="141">
        <v>660.20600000000002</v>
      </c>
      <c r="J6" s="141">
        <v>761.65300000000002</v>
      </c>
      <c r="K6" s="141">
        <v>845.48599999999999</v>
      </c>
      <c r="L6" s="141">
        <f>K6*(1+L7)</f>
        <v>972.30889999999988</v>
      </c>
      <c r="M6" s="141">
        <f t="shared" ref="M6:P6" si="0">L6*(1+M7)</f>
        <v>1118.1552349999997</v>
      </c>
      <c r="N6" s="141">
        <f t="shared" si="0"/>
        <v>1252.3338631999998</v>
      </c>
      <c r="O6" s="141">
        <f t="shared" si="0"/>
        <v>1377.5672495199999</v>
      </c>
      <c r="P6" s="141">
        <f t="shared" si="0"/>
        <v>1515.3239744719999</v>
      </c>
      <c r="Q6" s="141"/>
      <c r="R6" s="141"/>
      <c r="S6" s="141"/>
      <c r="T6" s="142">
        <v>1016.947</v>
      </c>
      <c r="U6" s="141">
        <v>1078.538</v>
      </c>
      <c r="V6" s="141">
        <v>1286.154</v>
      </c>
    </row>
    <row r="7" spans="1:22" s="80" customFormat="1" x14ac:dyDescent="0.35">
      <c r="A7" s="77" t="s">
        <v>505</v>
      </c>
      <c r="B7" s="77"/>
      <c r="C7" s="78"/>
      <c r="D7" s="78">
        <f>(D6-C6)/C6</f>
        <v>6.9088248948412437E-2</v>
      </c>
      <c r="E7" s="78">
        <f t="shared" ref="E7:K7" si="1">(E6-D6)/D6</f>
        <v>2.7492302023844079E-2</v>
      </c>
      <c r="F7" s="78">
        <f t="shared" si="1"/>
        <v>0.23946557040082203</v>
      </c>
      <c r="G7" s="78">
        <f t="shared" si="1"/>
        <v>0.23923735424642109</v>
      </c>
      <c r="H7" s="78">
        <f t="shared" si="1"/>
        <v>0.16738198319509917</v>
      </c>
      <c r="I7" s="78">
        <f t="shared" si="1"/>
        <v>0.17885297683562446</v>
      </c>
      <c r="J7" s="78">
        <f t="shared" si="1"/>
        <v>0.1536596153321842</v>
      </c>
      <c r="K7" s="78">
        <f t="shared" si="1"/>
        <v>0.11006718282472461</v>
      </c>
      <c r="L7" s="78">
        <v>0.15</v>
      </c>
      <c r="M7" s="78">
        <v>0.15</v>
      </c>
      <c r="N7" s="78">
        <v>0.12</v>
      </c>
      <c r="O7" s="78">
        <v>0.1</v>
      </c>
      <c r="P7" s="78">
        <v>0.1</v>
      </c>
      <c r="Q7" s="78">
        <f>(K6/G6)^(1/5)-1</f>
        <v>0.12000488510924279</v>
      </c>
      <c r="R7" s="78">
        <f>AVERAGE(G7:K7)</f>
        <v>0.1698398224868107</v>
      </c>
      <c r="S7" s="78"/>
      <c r="T7" s="79"/>
      <c r="U7" s="78"/>
      <c r="V7" s="78"/>
    </row>
    <row r="8" spans="1:22" x14ac:dyDescent="0.35">
      <c r="A8" s="59" t="s">
        <v>31</v>
      </c>
      <c r="B8" s="59" t="s">
        <v>32</v>
      </c>
      <c r="C8" s="62" t="s">
        <v>33</v>
      </c>
      <c r="D8" s="62" t="s">
        <v>33</v>
      </c>
      <c r="E8" s="62">
        <v>312.33300000000003</v>
      </c>
      <c r="F8" s="62">
        <v>387.12599999999998</v>
      </c>
      <c r="G8" s="62">
        <v>479.74099999999999</v>
      </c>
      <c r="H8" s="62">
        <v>560.04100000000005</v>
      </c>
      <c r="I8" s="62">
        <v>660.20600000000002</v>
      </c>
      <c r="J8" s="62">
        <v>761.65300000000002</v>
      </c>
      <c r="K8" s="62">
        <v>845.48599999999999</v>
      </c>
      <c r="L8" s="62"/>
      <c r="M8" s="62"/>
      <c r="N8" s="62"/>
      <c r="O8" s="62"/>
      <c r="P8" s="62"/>
      <c r="Q8" s="62"/>
      <c r="R8" s="62"/>
      <c r="S8" s="62"/>
      <c r="T8" s="65">
        <v>1016.947</v>
      </c>
      <c r="U8" s="62"/>
      <c r="V8" s="62"/>
    </row>
    <row r="9" spans="1:22" s="147" customFormat="1" ht="15.5" x14ac:dyDescent="0.35">
      <c r="A9" s="144" t="s">
        <v>34</v>
      </c>
      <c r="B9" s="144" t="s">
        <v>35</v>
      </c>
      <c r="C9" s="145">
        <v>75.034999999999997</v>
      </c>
      <c r="D9" s="145">
        <v>78.849999999999994</v>
      </c>
      <c r="E9" s="145">
        <v>78.840999999999994</v>
      </c>
      <c r="F9" s="145">
        <v>83.709000000000003</v>
      </c>
      <c r="G9" s="145">
        <v>117.306</v>
      </c>
      <c r="H9" s="145">
        <v>142.91800000000001</v>
      </c>
      <c r="I9" s="145">
        <v>162.1</v>
      </c>
      <c r="J9" s="145">
        <v>183.21</v>
      </c>
      <c r="K9" s="145">
        <v>205.376</v>
      </c>
      <c r="L9" s="145">
        <f>L$6*L10</f>
        <v>233.35413599999995</v>
      </c>
      <c r="M9" s="145">
        <f>M$6*M10</f>
        <v>268.35725639999993</v>
      </c>
      <c r="N9" s="145">
        <f>N$6*N10</f>
        <v>300.56012716799995</v>
      </c>
      <c r="O9" s="145">
        <f>O$6*O10</f>
        <v>330.61613988479996</v>
      </c>
      <c r="P9" s="145">
        <f>P$6*P10</f>
        <v>363.67775387327998</v>
      </c>
      <c r="Q9" s="145"/>
      <c r="R9" s="145"/>
      <c r="S9" s="145"/>
      <c r="T9" s="146">
        <v>249.09200000000001</v>
      </c>
      <c r="U9" s="145"/>
      <c r="V9" s="145"/>
    </row>
    <row r="10" spans="1:22" x14ac:dyDescent="0.35">
      <c r="A10" s="81" t="s">
        <v>508</v>
      </c>
      <c r="B10" s="81"/>
      <c r="C10" s="83">
        <f>C9/C$6</f>
        <v>0.26389924454510921</v>
      </c>
      <c r="D10" s="83">
        <f t="shared" ref="D10:K10" si="2">D9/D$6</f>
        <v>0.25939547859041501</v>
      </c>
      <c r="E10" s="83">
        <f t="shared" si="2"/>
        <v>0.25242609650597275</v>
      </c>
      <c r="F10" s="83">
        <f t="shared" si="2"/>
        <v>0.21623192448970105</v>
      </c>
      <c r="G10" s="83">
        <f t="shared" si="2"/>
        <v>0.244519438613752</v>
      </c>
      <c r="H10" s="83">
        <f t="shared" si="2"/>
        <v>0.25519203058347512</v>
      </c>
      <c r="I10" s="83">
        <f t="shared" si="2"/>
        <v>0.24552942566411087</v>
      </c>
      <c r="J10" s="83">
        <f t="shared" si="2"/>
        <v>0.24054260929846005</v>
      </c>
      <c r="K10" s="83">
        <f t="shared" si="2"/>
        <v>0.2429088122097823</v>
      </c>
      <c r="L10" s="82">
        <v>0.24</v>
      </c>
      <c r="M10" s="82">
        <v>0.24</v>
      </c>
      <c r="N10" s="82">
        <v>0.24</v>
      </c>
      <c r="O10" s="82">
        <v>0.24</v>
      </c>
      <c r="P10" s="82">
        <v>0.24</v>
      </c>
      <c r="Q10" s="78">
        <f>(K9/G9)^(1/5)-1</f>
        <v>0.11852550891389546</v>
      </c>
      <c r="R10" s="78">
        <f>AVERAGE(G10:K10)</f>
        <v>0.24573846327391605</v>
      </c>
      <c r="S10" s="62"/>
      <c r="T10" s="65"/>
      <c r="U10" s="62"/>
      <c r="V10" s="62"/>
    </row>
    <row r="11" spans="1:22" x14ac:dyDescent="0.35">
      <c r="A11" s="59" t="s">
        <v>36</v>
      </c>
      <c r="B11" s="59" t="s">
        <v>37</v>
      </c>
      <c r="C11" s="62" t="s">
        <v>33</v>
      </c>
      <c r="D11" s="62" t="s">
        <v>33</v>
      </c>
      <c r="E11" s="62">
        <v>78.840999999999994</v>
      </c>
      <c r="F11" s="62">
        <v>83.709000000000003</v>
      </c>
      <c r="G11" s="62">
        <v>117.306</v>
      </c>
      <c r="H11" s="62">
        <v>142.91800000000001</v>
      </c>
      <c r="I11" s="62">
        <v>162.1</v>
      </c>
      <c r="J11" s="62">
        <v>183.21</v>
      </c>
      <c r="K11" s="62">
        <v>205.376</v>
      </c>
      <c r="L11" s="62"/>
      <c r="M11" s="62"/>
      <c r="N11" s="62"/>
      <c r="O11" s="62"/>
      <c r="P11" s="62"/>
      <c r="Q11" s="62"/>
      <c r="R11" s="62"/>
      <c r="S11" s="62"/>
      <c r="T11" s="65">
        <v>249.09200000000001</v>
      </c>
      <c r="U11" s="62"/>
      <c r="V11" s="62"/>
    </row>
    <row r="12" spans="1:22" s="143" customFormat="1" ht="15.5" x14ac:dyDescent="0.35">
      <c r="A12" s="140" t="s">
        <v>1</v>
      </c>
      <c r="B12" s="140" t="s">
        <v>38</v>
      </c>
      <c r="C12" s="141">
        <v>209.297</v>
      </c>
      <c r="D12" s="141">
        <v>225.126</v>
      </c>
      <c r="E12" s="141">
        <v>233.49199999999999</v>
      </c>
      <c r="F12" s="141">
        <v>303.41699999999997</v>
      </c>
      <c r="G12" s="141">
        <v>362.435</v>
      </c>
      <c r="H12" s="141">
        <v>417.12299999999999</v>
      </c>
      <c r="I12" s="141">
        <v>498.10599999999999</v>
      </c>
      <c r="J12" s="141">
        <v>578.44299999999998</v>
      </c>
      <c r="K12" s="141">
        <v>640.11</v>
      </c>
      <c r="L12" s="141">
        <f>L6-L9</f>
        <v>738.95476399999995</v>
      </c>
      <c r="M12" s="141">
        <f t="shared" ref="M12:P12" si="3">M6-M9</f>
        <v>849.79797859999985</v>
      </c>
      <c r="N12" s="141">
        <f t="shared" si="3"/>
        <v>951.77373603199976</v>
      </c>
      <c r="O12" s="141">
        <f t="shared" si="3"/>
        <v>1046.9511096351998</v>
      </c>
      <c r="P12" s="141">
        <f t="shared" si="3"/>
        <v>1151.64622059872</v>
      </c>
      <c r="Q12" s="141"/>
      <c r="R12" s="141"/>
      <c r="S12" s="141"/>
      <c r="T12" s="142">
        <v>767.85499987793003</v>
      </c>
      <c r="U12" s="141">
        <v>814.56582449999996</v>
      </c>
      <c r="V12" s="141">
        <v>972.49962402000006</v>
      </c>
    </row>
    <row r="13" spans="1:22" s="139" customFormat="1" x14ac:dyDescent="0.35">
      <c r="A13" s="136" t="s">
        <v>39</v>
      </c>
      <c r="B13" s="136" t="s">
        <v>40</v>
      </c>
      <c r="C13" s="137" t="s">
        <v>33</v>
      </c>
      <c r="D13" s="137" t="s">
        <v>33</v>
      </c>
      <c r="E13" s="137">
        <v>0</v>
      </c>
      <c r="F13" s="137">
        <v>0</v>
      </c>
      <c r="G13" s="137">
        <v>0</v>
      </c>
      <c r="H13" s="137">
        <v>0</v>
      </c>
      <c r="I13" s="137">
        <v>0</v>
      </c>
      <c r="J13" s="137">
        <v>0</v>
      </c>
      <c r="K13" s="137">
        <v>0</v>
      </c>
      <c r="L13" s="137"/>
      <c r="M13" s="137"/>
      <c r="N13" s="137"/>
      <c r="O13" s="137"/>
      <c r="P13" s="137"/>
      <c r="Q13" s="137"/>
      <c r="R13" s="137"/>
      <c r="S13" s="137"/>
      <c r="T13" s="138">
        <v>0</v>
      </c>
      <c r="U13" s="137"/>
      <c r="V13" s="137"/>
    </row>
    <row r="14" spans="1:22" s="147" customFormat="1" ht="15.5" x14ac:dyDescent="0.35">
      <c r="A14" s="144" t="s">
        <v>41</v>
      </c>
      <c r="B14" s="144" t="s">
        <v>42</v>
      </c>
      <c r="C14" s="145">
        <v>177.238</v>
      </c>
      <c r="D14" s="145">
        <v>203.381</v>
      </c>
      <c r="E14" s="145">
        <v>196.512</v>
      </c>
      <c r="F14" s="145">
        <v>204.8</v>
      </c>
      <c r="G14" s="145">
        <v>260.96300000000002</v>
      </c>
      <c r="H14" s="145">
        <v>292.88900000000001</v>
      </c>
      <c r="I14" s="145">
        <v>336.88099999999997</v>
      </c>
      <c r="J14" s="145">
        <v>384.86700000000002</v>
      </c>
      <c r="K14" s="145">
        <v>451.476</v>
      </c>
      <c r="L14" s="145">
        <f>SUM(L15,L19,L21,L23)</f>
        <v>508.03140024999993</v>
      </c>
      <c r="M14" s="145">
        <f t="shared" ref="M14:P14" si="4">SUM(M15,M19,M21,M23)</f>
        <v>584.23611028749986</v>
      </c>
      <c r="N14" s="145">
        <f t="shared" si="4"/>
        <v>654.34444352199989</v>
      </c>
      <c r="O14" s="145">
        <f t="shared" si="4"/>
        <v>719.77888787419988</v>
      </c>
      <c r="P14" s="145">
        <f t="shared" si="4"/>
        <v>791.75677666162005</v>
      </c>
      <c r="Q14" s="145"/>
      <c r="R14" s="145"/>
      <c r="S14" s="145"/>
      <c r="T14" s="146">
        <v>527.96699999999998</v>
      </c>
      <c r="U14" s="145"/>
      <c r="V14" s="145"/>
    </row>
    <row r="15" spans="1:22" s="135" customFormat="1" x14ac:dyDescent="0.35">
      <c r="A15" s="130" t="s">
        <v>43</v>
      </c>
      <c r="B15" s="130" t="s">
        <v>44</v>
      </c>
      <c r="C15" s="131">
        <v>151.511</v>
      </c>
      <c r="D15" s="131">
        <v>177.21600000000001</v>
      </c>
      <c r="E15" s="131">
        <v>174.26</v>
      </c>
      <c r="F15" s="131">
        <v>178.803</v>
      </c>
      <c r="G15" s="131">
        <v>221.69399999999999</v>
      </c>
      <c r="H15" s="131">
        <v>247.881</v>
      </c>
      <c r="I15" s="131">
        <v>292.798</v>
      </c>
      <c r="J15" s="131">
        <v>332.06799999999998</v>
      </c>
      <c r="K15" s="131">
        <v>390.23899999999998</v>
      </c>
      <c r="L15" s="132">
        <f>L$6*L16</f>
        <v>437.53900499999997</v>
      </c>
      <c r="M15" s="132">
        <f>M$6*M16</f>
        <v>503.1698557499999</v>
      </c>
      <c r="N15" s="132">
        <f>N$6*N16</f>
        <v>563.55023843999993</v>
      </c>
      <c r="O15" s="132">
        <f>O$6*O16</f>
        <v>619.90526228399995</v>
      </c>
      <c r="P15" s="132">
        <f>P$6*P16</f>
        <v>681.89578851240003</v>
      </c>
      <c r="Q15" s="133"/>
      <c r="R15" s="133"/>
      <c r="S15" s="131"/>
      <c r="T15" s="134">
        <v>459.96699999999998</v>
      </c>
      <c r="U15" s="131"/>
      <c r="V15" s="131"/>
    </row>
    <row r="16" spans="1:22" x14ac:dyDescent="0.35">
      <c r="A16" s="81" t="s">
        <v>508</v>
      </c>
      <c r="B16" s="81"/>
      <c r="C16" s="83">
        <f>C15/C$6</f>
        <v>0.5328665081665096</v>
      </c>
      <c r="D16" s="83">
        <f t="shared" ref="D16" si="5">D15/D$6</f>
        <v>0.58299339421533281</v>
      </c>
      <c r="E16" s="83">
        <f t="shared" ref="E16" si="6">E15/E$6</f>
        <v>0.55793015787636902</v>
      </c>
      <c r="F16" s="83">
        <f t="shared" ref="F16" si="7">F15/F$6</f>
        <v>0.4618728785976659</v>
      </c>
      <c r="G16" s="83">
        <f t="shared" ref="G16" si="8">G15/G$6</f>
        <v>0.46211184785123638</v>
      </c>
      <c r="H16" s="83">
        <f t="shared" ref="H16" si="9">H15/H$6</f>
        <v>0.44261223731833915</v>
      </c>
      <c r="I16" s="83">
        <f t="shared" ref="I16" si="10">I15/I$6</f>
        <v>0.44349490916471523</v>
      </c>
      <c r="J16" s="83">
        <f t="shared" ref="J16" si="11">J15/J$6</f>
        <v>0.43598331523672851</v>
      </c>
      <c r="K16" s="83">
        <f t="shared" ref="K16" si="12">K15/K$6</f>
        <v>0.461555838890295</v>
      </c>
      <c r="L16" s="82">
        <v>0.45</v>
      </c>
      <c r="M16" s="82">
        <v>0.45</v>
      </c>
      <c r="N16" s="82">
        <v>0.45</v>
      </c>
      <c r="O16" s="82">
        <v>0.45</v>
      </c>
      <c r="P16" s="82">
        <v>0.45</v>
      </c>
      <c r="Q16" s="78">
        <f>(K15/G15)^(1/5)-1</f>
        <v>0.11973523927414198</v>
      </c>
      <c r="R16" s="78">
        <f>AVERAGE(G16:K16)</f>
        <v>0.44915162969226285</v>
      </c>
      <c r="S16" s="62"/>
      <c r="T16" s="65"/>
      <c r="U16" s="62"/>
      <c r="V16" s="62"/>
    </row>
    <row r="17" spans="1:22" x14ac:dyDescent="0.35">
      <c r="A17" s="60" t="s">
        <v>45</v>
      </c>
      <c r="B17" s="60" t="s">
        <v>46</v>
      </c>
      <c r="C17" s="73">
        <v>98.230999999999995</v>
      </c>
      <c r="D17" s="73">
        <v>115.062</v>
      </c>
      <c r="E17" s="73">
        <v>112.542</v>
      </c>
      <c r="F17" s="73">
        <v>114.01300000000001</v>
      </c>
      <c r="G17" s="73">
        <v>142.17400000000001</v>
      </c>
      <c r="H17" s="73">
        <v>152.041</v>
      </c>
      <c r="I17" s="73">
        <v>180.04599999999999</v>
      </c>
      <c r="J17" s="73">
        <v>217.262</v>
      </c>
      <c r="K17" s="73" t="s">
        <v>33</v>
      </c>
      <c r="L17" s="73"/>
      <c r="M17" s="73"/>
      <c r="N17" s="73"/>
      <c r="O17" s="73"/>
      <c r="P17" s="73"/>
      <c r="Q17" s="73"/>
      <c r="R17" s="73"/>
      <c r="S17" s="73"/>
      <c r="T17" s="74"/>
      <c r="U17" s="73"/>
      <c r="V17" s="73"/>
    </row>
    <row r="18" spans="1:22" x14ac:dyDescent="0.35">
      <c r="A18" s="60" t="s">
        <v>47</v>
      </c>
      <c r="B18" s="60" t="s">
        <v>48</v>
      </c>
      <c r="C18" s="73" t="s">
        <v>33</v>
      </c>
      <c r="D18" s="73" t="s">
        <v>33</v>
      </c>
      <c r="E18" s="73">
        <v>61.718000000000004</v>
      </c>
      <c r="F18" s="73">
        <v>64.790000000000006</v>
      </c>
      <c r="G18" s="73">
        <v>79.52</v>
      </c>
      <c r="H18" s="73">
        <v>95.84</v>
      </c>
      <c r="I18" s="73">
        <v>112.752</v>
      </c>
      <c r="J18" s="73">
        <v>114.806</v>
      </c>
      <c r="K18" s="73" t="s">
        <v>33</v>
      </c>
      <c r="L18" s="73"/>
      <c r="M18" s="73"/>
      <c r="N18" s="73"/>
      <c r="O18" s="73"/>
      <c r="P18" s="73"/>
      <c r="Q18" s="73"/>
      <c r="R18" s="73"/>
      <c r="S18" s="73"/>
      <c r="T18" s="74"/>
      <c r="U18" s="73"/>
      <c r="V18" s="73"/>
    </row>
    <row r="19" spans="1:22" s="135" customFormat="1" x14ac:dyDescent="0.35">
      <c r="A19" s="130" t="s">
        <v>49</v>
      </c>
      <c r="B19" s="130" t="s">
        <v>50</v>
      </c>
      <c r="C19" s="131" t="s">
        <v>33</v>
      </c>
      <c r="D19" s="131" t="s">
        <v>33</v>
      </c>
      <c r="E19" s="131">
        <v>22.251999999999999</v>
      </c>
      <c r="F19" s="131">
        <v>25.997</v>
      </c>
      <c r="G19" s="131">
        <v>37.154000000000003</v>
      </c>
      <c r="H19" s="131">
        <v>42.869</v>
      </c>
      <c r="I19" s="131">
        <v>44.082999999999998</v>
      </c>
      <c r="J19" s="131">
        <v>52.798999999999999</v>
      </c>
      <c r="K19" s="131">
        <v>61.237000000000002</v>
      </c>
      <c r="L19" s="132">
        <f>L$6*L20</f>
        <v>70.492395249999987</v>
      </c>
      <c r="M19" s="132">
        <f>M$6*M20</f>
        <v>81.066254537499972</v>
      </c>
      <c r="N19" s="132">
        <f>N$6*N20</f>
        <v>90.794205081999976</v>
      </c>
      <c r="O19" s="132">
        <f>O$6*O20</f>
        <v>99.873625590199993</v>
      </c>
      <c r="P19" s="132">
        <f>P$6*P20</f>
        <v>109.86098814921999</v>
      </c>
      <c r="Q19" s="131"/>
      <c r="R19" s="131"/>
      <c r="S19" s="131"/>
      <c r="T19" s="134">
        <v>68</v>
      </c>
      <c r="U19" s="131"/>
      <c r="V19" s="131"/>
    </row>
    <row r="20" spans="1:22" x14ac:dyDescent="0.35">
      <c r="A20" s="81" t="s">
        <v>508</v>
      </c>
      <c r="B20" s="81"/>
      <c r="C20" s="83" t="e">
        <f>C19/C$6</f>
        <v>#VALUE!</v>
      </c>
      <c r="D20" s="83" t="e">
        <f t="shared" ref="D20" si="13">D19/D$6</f>
        <v>#VALUE!</v>
      </c>
      <c r="E20" s="83">
        <f t="shared" ref="E20" si="14">E19/E$6</f>
        <v>7.1244473046395987E-2</v>
      </c>
      <c r="F20" s="83">
        <f t="shared" ref="F20" si="15">F19/F$6</f>
        <v>6.7153846551252047E-2</v>
      </c>
      <c r="G20" s="83">
        <f t="shared" ref="G20" si="16">G19/G$6</f>
        <v>7.7445955213333875E-2</v>
      </c>
      <c r="H20" s="83">
        <f t="shared" ref="H20" si="17">H19/H$6</f>
        <v>7.6546181440287395E-2</v>
      </c>
      <c r="I20" s="83">
        <f t="shared" ref="I20" si="18">I19/I$6</f>
        <v>6.6771583414873534E-2</v>
      </c>
      <c r="J20" s="83">
        <f t="shared" ref="J20" si="19">J19/J$6</f>
        <v>6.9321593954202246E-2</v>
      </c>
      <c r="K20" s="83">
        <f t="shared" ref="K20" si="20">K19/K$6</f>
        <v>7.2428165575775361E-2</v>
      </c>
      <c r="L20" s="84">
        <v>7.2499999999999995E-2</v>
      </c>
      <c r="M20" s="84">
        <v>7.2499999999999995E-2</v>
      </c>
      <c r="N20" s="84">
        <v>7.2499999999999995E-2</v>
      </c>
      <c r="O20" s="84">
        <v>7.2499999999999995E-2</v>
      </c>
      <c r="P20" s="84">
        <v>7.2499999999999995E-2</v>
      </c>
      <c r="Q20" s="78">
        <f>(K19/G19)^(1/5)-1</f>
        <v>0.10510022145488596</v>
      </c>
      <c r="R20" s="78">
        <f>AVERAGE(G20:K20)</f>
        <v>7.2502695919694479E-2</v>
      </c>
      <c r="S20" s="62"/>
      <c r="T20" s="65"/>
      <c r="U20" s="62"/>
      <c r="V20" s="62"/>
    </row>
    <row r="21" spans="1:22" s="135" customFormat="1" x14ac:dyDescent="0.35">
      <c r="A21" s="130" t="s">
        <v>51</v>
      </c>
      <c r="B21" s="130" t="s">
        <v>52</v>
      </c>
      <c r="C21" s="131" t="s">
        <v>33</v>
      </c>
      <c r="D21" s="131" t="s">
        <v>33</v>
      </c>
      <c r="E21" s="131" t="s">
        <v>33</v>
      </c>
      <c r="F21" s="131" t="s">
        <v>33</v>
      </c>
      <c r="G21" s="131">
        <v>2.4430000000000001</v>
      </c>
      <c r="H21" s="131">
        <v>3.4550000000000001</v>
      </c>
      <c r="I21" s="131" t="s">
        <v>33</v>
      </c>
      <c r="J21" s="131" t="s">
        <v>33</v>
      </c>
      <c r="K21" s="131" t="s">
        <v>33</v>
      </c>
      <c r="L21" s="132">
        <f>L$6*L22</f>
        <v>0</v>
      </c>
      <c r="M21" s="132">
        <f>M$6*M22</f>
        <v>0</v>
      </c>
      <c r="N21" s="132">
        <f>N$6*N22</f>
        <v>0</v>
      </c>
      <c r="O21" s="132">
        <f>O$6*O22</f>
        <v>0</v>
      </c>
      <c r="P21" s="132">
        <f>P$6*P22</f>
        <v>0</v>
      </c>
      <c r="Q21" s="131"/>
      <c r="R21" s="131"/>
      <c r="S21" s="131"/>
      <c r="T21" s="134"/>
      <c r="U21" s="131"/>
      <c r="V21" s="131"/>
    </row>
    <row r="22" spans="1:22" x14ac:dyDescent="0.35">
      <c r="A22" s="81" t="s">
        <v>508</v>
      </c>
      <c r="B22" s="81"/>
      <c r="C22" s="83" t="e">
        <f>C21/C$6</f>
        <v>#VALUE!</v>
      </c>
      <c r="D22" s="83" t="e">
        <f t="shared" ref="D22" si="21">D21/D$6</f>
        <v>#VALUE!</v>
      </c>
      <c r="E22" s="83" t="e">
        <f t="shared" ref="E22" si="22">E21/E$6</f>
        <v>#VALUE!</v>
      </c>
      <c r="F22" s="83" t="e">
        <f t="shared" ref="F22" si="23">F21/F$6</f>
        <v>#VALUE!</v>
      </c>
      <c r="G22" s="83">
        <f t="shared" ref="G22" si="24">G21/G$6</f>
        <v>5.092331070306687E-3</v>
      </c>
      <c r="H22" s="83">
        <f t="shared" ref="H22" si="25">H21/H$6</f>
        <v>6.1691911842168693E-3</v>
      </c>
      <c r="I22" s="83" t="e">
        <f t="shared" ref="I22" si="26">I21/I$6</f>
        <v>#VALUE!</v>
      </c>
      <c r="J22" s="83" t="e">
        <f t="shared" ref="J22" si="27">J21/J$6</f>
        <v>#VALUE!</v>
      </c>
      <c r="K22" s="83" t="e">
        <f t="shared" ref="K22" si="28">K21/K$6</f>
        <v>#VALUE!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78" t="e">
        <f>(K21/G21)^(1/5)-1</f>
        <v>#VALUE!</v>
      </c>
      <c r="R22" s="78" t="e">
        <f>AVERAGE(G22:K22)</f>
        <v>#VALUE!</v>
      </c>
      <c r="S22" s="62"/>
      <c r="T22" s="65"/>
      <c r="U22" s="62"/>
      <c r="V22" s="62"/>
    </row>
    <row r="23" spans="1:22" s="135" customFormat="1" x14ac:dyDescent="0.35">
      <c r="A23" s="130" t="s">
        <v>53</v>
      </c>
      <c r="B23" s="130" t="s">
        <v>54</v>
      </c>
      <c r="C23" s="131" t="s">
        <v>33</v>
      </c>
      <c r="D23" s="131" t="s">
        <v>33</v>
      </c>
      <c r="E23" s="131">
        <v>0</v>
      </c>
      <c r="F23" s="131">
        <v>0</v>
      </c>
      <c r="G23" s="131">
        <v>-0.32800000000000001</v>
      </c>
      <c r="H23" s="131">
        <v>-1.3160000000000001</v>
      </c>
      <c r="I23" s="131">
        <v>0</v>
      </c>
      <c r="J23" s="131">
        <v>0</v>
      </c>
      <c r="K23" s="131">
        <v>0</v>
      </c>
      <c r="L23" s="132">
        <f>L$6*L24</f>
        <v>0</v>
      </c>
      <c r="M23" s="132">
        <f>M$6*M24</f>
        <v>0</v>
      </c>
      <c r="N23" s="132">
        <f>N$6*N24</f>
        <v>0</v>
      </c>
      <c r="O23" s="132">
        <f>O$6*O24</f>
        <v>0</v>
      </c>
      <c r="P23" s="132">
        <f>P$6*P24</f>
        <v>0</v>
      </c>
      <c r="Q23" s="131"/>
      <c r="R23" s="131"/>
      <c r="S23" s="131"/>
      <c r="T23" s="134">
        <v>0</v>
      </c>
      <c r="U23" s="131"/>
      <c r="V23" s="131"/>
    </row>
    <row r="24" spans="1:22" x14ac:dyDescent="0.35">
      <c r="A24" s="81" t="s">
        <v>508</v>
      </c>
      <c r="B24" s="81"/>
      <c r="C24" s="83" t="e">
        <f>C23/C$6</f>
        <v>#VALUE!</v>
      </c>
      <c r="D24" s="83" t="e">
        <f t="shared" ref="D24" si="29">D23/D$6</f>
        <v>#VALUE!</v>
      </c>
      <c r="E24" s="83">
        <f t="shared" ref="E24" si="30">E23/E$6</f>
        <v>0</v>
      </c>
      <c r="F24" s="83">
        <f t="shared" ref="F24" si="31">F23/F$6</f>
        <v>0</v>
      </c>
      <c r="G24" s="83">
        <f t="shared" ref="G24" si="32">G23/G$6</f>
        <v>-6.8370224767113925E-4</v>
      </c>
      <c r="H24" s="83">
        <f t="shared" ref="H24" si="33">H23/H$6</f>
        <v>-2.3498279590244285E-3</v>
      </c>
      <c r="I24" s="83">
        <f t="shared" ref="I24" si="34">I23/I$6</f>
        <v>0</v>
      </c>
      <c r="J24" s="83">
        <f t="shared" ref="J24" si="35">J23/J$6</f>
        <v>0</v>
      </c>
      <c r="K24" s="83">
        <f t="shared" ref="K24" si="36">K23/K$6</f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78">
        <f>(K23/G23)^(1/5)-1</f>
        <v>-1</v>
      </c>
      <c r="R24" s="78">
        <f>AVERAGE(G24:K24)</f>
        <v>-6.067060413391136E-4</v>
      </c>
      <c r="S24" s="62"/>
      <c r="T24" s="65"/>
      <c r="U24" s="62"/>
      <c r="V24" s="62"/>
    </row>
    <row r="25" spans="1:22" s="143" customFormat="1" ht="15.5" x14ac:dyDescent="0.35">
      <c r="A25" s="140" t="s">
        <v>55</v>
      </c>
      <c r="B25" s="140" t="s">
        <v>56</v>
      </c>
      <c r="C25" s="141">
        <v>32.058999999999997</v>
      </c>
      <c r="D25" s="141">
        <v>21.745000000000001</v>
      </c>
      <c r="E25" s="141">
        <v>36.979999999999997</v>
      </c>
      <c r="F25" s="141">
        <v>98.617000000000004</v>
      </c>
      <c r="G25" s="141">
        <v>101.47199999999999</v>
      </c>
      <c r="H25" s="141">
        <v>124.23399999999999</v>
      </c>
      <c r="I25" s="141">
        <v>161.22499999999999</v>
      </c>
      <c r="J25" s="141">
        <v>193.57599999999999</v>
      </c>
      <c r="K25" s="141">
        <v>188.63399999999999</v>
      </c>
      <c r="L25" s="141">
        <f>L12-L14</f>
        <v>230.92336375000002</v>
      </c>
      <c r="M25" s="141">
        <f t="shared" ref="M25:P25" si="37">M12-M14</f>
        <v>265.5618683125</v>
      </c>
      <c r="N25" s="141">
        <f t="shared" si="37"/>
        <v>297.42929250999987</v>
      </c>
      <c r="O25" s="141">
        <f t="shared" si="37"/>
        <v>327.17222176099995</v>
      </c>
      <c r="P25" s="141">
        <f t="shared" si="37"/>
        <v>359.88944393709994</v>
      </c>
      <c r="Q25" s="141"/>
      <c r="R25" s="141"/>
      <c r="S25" s="141"/>
      <c r="T25" s="142">
        <v>239.88800000000001</v>
      </c>
      <c r="U25" s="141">
        <v>249.5</v>
      </c>
      <c r="V25" s="141">
        <v>312.58300000000003</v>
      </c>
    </row>
    <row r="26" spans="1:22" x14ac:dyDescent="0.35">
      <c r="A26" s="59" t="s">
        <v>57</v>
      </c>
      <c r="B26" s="59" t="s">
        <v>58</v>
      </c>
      <c r="C26" s="62" t="s">
        <v>33</v>
      </c>
      <c r="D26" s="62" t="s">
        <v>33</v>
      </c>
      <c r="E26" s="62">
        <v>-0.11899999999999999</v>
      </c>
      <c r="F26" s="62">
        <v>0.73099999999999998</v>
      </c>
      <c r="G26" s="62">
        <v>0.41899999999999998</v>
      </c>
      <c r="H26" s="62">
        <v>1.296</v>
      </c>
      <c r="I26" s="62">
        <v>1.073</v>
      </c>
      <c r="J26" s="62">
        <v>3.2069999999999999</v>
      </c>
      <c r="K26" s="62">
        <v>2.5329999999999999</v>
      </c>
      <c r="L26" s="62"/>
      <c r="M26" s="62"/>
      <c r="N26" s="62"/>
      <c r="O26" s="62"/>
      <c r="P26" s="62"/>
      <c r="Q26" s="62"/>
      <c r="R26" s="62"/>
      <c r="S26" s="62"/>
      <c r="T26" s="65">
        <v>-1.474</v>
      </c>
      <c r="U26" s="62"/>
      <c r="V26" s="62"/>
    </row>
    <row r="27" spans="1:22" x14ac:dyDescent="0.35">
      <c r="A27" s="59" t="s">
        <v>59</v>
      </c>
      <c r="B27" s="59" t="s">
        <v>60</v>
      </c>
      <c r="C27" s="62">
        <v>-3.8530000000000002</v>
      </c>
      <c r="D27" s="62">
        <v>-3.028</v>
      </c>
      <c r="E27" s="62">
        <v>-0.49399999999999999</v>
      </c>
      <c r="F27" s="62">
        <v>-0.53600000000000003</v>
      </c>
      <c r="G27" s="62">
        <v>-0.501</v>
      </c>
      <c r="H27" s="62" t="s">
        <v>33</v>
      </c>
      <c r="I27" s="62" t="s">
        <v>33</v>
      </c>
      <c r="J27" s="62" t="s">
        <v>33</v>
      </c>
      <c r="K27" s="62" t="s">
        <v>33</v>
      </c>
      <c r="L27" s="62"/>
      <c r="M27" s="62"/>
      <c r="N27" s="62"/>
      <c r="O27" s="62"/>
      <c r="P27" s="62"/>
      <c r="Q27" s="62"/>
      <c r="R27" s="62"/>
      <c r="S27" s="62"/>
      <c r="T27" s="65"/>
      <c r="U27" s="62"/>
      <c r="V27" s="62"/>
    </row>
    <row r="28" spans="1:22" x14ac:dyDescent="0.35">
      <c r="A28" s="60" t="s">
        <v>61</v>
      </c>
      <c r="B28" s="60" t="s">
        <v>62</v>
      </c>
      <c r="C28" s="73">
        <v>0.34200000000000003</v>
      </c>
      <c r="D28" s="73">
        <v>2.4E-2</v>
      </c>
      <c r="E28" s="73">
        <v>8.5000000000000006E-2</v>
      </c>
      <c r="F28" s="73">
        <v>1.9E-2</v>
      </c>
      <c r="G28" s="73">
        <v>5.0999999999999997E-2</v>
      </c>
      <c r="H28" s="73" t="s">
        <v>33</v>
      </c>
      <c r="I28" s="73" t="s">
        <v>33</v>
      </c>
      <c r="J28" s="73" t="s">
        <v>33</v>
      </c>
      <c r="K28" s="73" t="s">
        <v>33</v>
      </c>
      <c r="L28" s="73"/>
      <c r="M28" s="73"/>
      <c r="N28" s="73"/>
      <c r="O28" s="73"/>
      <c r="P28" s="73"/>
      <c r="Q28" s="73"/>
      <c r="R28" s="73"/>
      <c r="S28" s="73"/>
      <c r="T28" s="74"/>
      <c r="U28" s="73"/>
      <c r="V28" s="73"/>
    </row>
    <row r="29" spans="1:22" x14ac:dyDescent="0.35">
      <c r="A29" s="60" t="s">
        <v>63</v>
      </c>
      <c r="B29" s="60" t="s">
        <v>64</v>
      </c>
      <c r="C29" s="73">
        <v>4.1950000000000003</v>
      </c>
      <c r="D29" s="73">
        <v>3.052</v>
      </c>
      <c r="E29" s="73">
        <v>0.57899999999999996</v>
      </c>
      <c r="F29" s="73">
        <v>0.55500000000000005</v>
      </c>
      <c r="G29" s="73">
        <v>0.55200000000000005</v>
      </c>
      <c r="H29" s="73">
        <v>0.75700000000000001</v>
      </c>
      <c r="I29" s="73" t="s">
        <v>33</v>
      </c>
      <c r="J29" s="73" t="s">
        <v>33</v>
      </c>
      <c r="K29" s="73" t="s">
        <v>33</v>
      </c>
      <c r="L29" s="73"/>
      <c r="M29" s="73"/>
      <c r="N29" s="73"/>
      <c r="O29" s="73"/>
      <c r="P29" s="73"/>
      <c r="Q29" s="73"/>
      <c r="R29" s="73"/>
      <c r="S29" s="73"/>
      <c r="T29" s="74"/>
      <c r="U29" s="73"/>
      <c r="V29" s="73"/>
    </row>
    <row r="30" spans="1:22" x14ac:dyDescent="0.35">
      <c r="A30" s="59" t="s">
        <v>65</v>
      </c>
      <c r="B30" s="59" t="s">
        <v>66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62"/>
      <c r="M30" s="62"/>
      <c r="N30" s="62"/>
      <c r="O30" s="62"/>
      <c r="P30" s="62"/>
      <c r="Q30" s="62"/>
      <c r="R30" s="62"/>
      <c r="S30" s="62"/>
      <c r="T30" s="65"/>
      <c r="U30" s="62"/>
      <c r="V30" s="62"/>
    </row>
    <row r="31" spans="1:22" x14ac:dyDescent="0.35">
      <c r="A31" s="59" t="s">
        <v>67</v>
      </c>
      <c r="B31" s="59" t="s">
        <v>68</v>
      </c>
      <c r="C31" s="62" t="s">
        <v>33</v>
      </c>
      <c r="D31" s="62" t="s">
        <v>33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/>
      <c r="M31" s="62"/>
      <c r="N31" s="62"/>
      <c r="O31" s="62"/>
      <c r="P31" s="62"/>
      <c r="Q31" s="62"/>
      <c r="R31" s="62"/>
      <c r="S31" s="62"/>
      <c r="T31" s="65"/>
      <c r="U31" s="62"/>
      <c r="V31" s="62"/>
    </row>
    <row r="32" spans="1:22" x14ac:dyDescent="0.35">
      <c r="A32" s="59" t="s">
        <v>69</v>
      </c>
      <c r="B32" s="59" t="s">
        <v>70</v>
      </c>
      <c r="C32" s="62" t="s">
        <v>33</v>
      </c>
      <c r="D32" s="62" t="s">
        <v>33</v>
      </c>
      <c r="E32" s="62">
        <v>0.375</v>
      </c>
      <c r="F32" s="62">
        <v>1.2669999999999999</v>
      </c>
      <c r="G32" s="62">
        <v>0.92</v>
      </c>
      <c r="H32" s="62">
        <v>2.0529999999999999</v>
      </c>
      <c r="I32" s="62">
        <v>1.073</v>
      </c>
      <c r="J32" s="62">
        <v>3.2069999999999999</v>
      </c>
      <c r="K32" s="62">
        <v>2.5329999999999999</v>
      </c>
      <c r="L32" s="62"/>
      <c r="M32" s="62"/>
      <c r="N32" s="62"/>
      <c r="O32" s="62"/>
      <c r="P32" s="62"/>
      <c r="Q32" s="62"/>
      <c r="R32" s="62"/>
      <c r="S32" s="62"/>
      <c r="T32" s="65">
        <v>-1.474</v>
      </c>
      <c r="U32" s="62"/>
      <c r="V32" s="62"/>
    </row>
    <row r="33" spans="1:22" x14ac:dyDescent="0.35">
      <c r="A33" s="55" t="s">
        <v>71</v>
      </c>
      <c r="B33" s="55" t="s">
        <v>72</v>
      </c>
      <c r="C33" s="68">
        <v>36.950000000000003</v>
      </c>
      <c r="D33" s="68">
        <v>17.076000000000001</v>
      </c>
      <c r="E33" s="68">
        <v>37.098999999999997</v>
      </c>
      <c r="F33" s="68">
        <v>97.885999999999996</v>
      </c>
      <c r="G33" s="68">
        <v>101.053</v>
      </c>
      <c r="H33" s="68">
        <v>122.938</v>
      </c>
      <c r="I33" s="68">
        <v>160.15199999999999</v>
      </c>
      <c r="J33" s="68">
        <v>190.369</v>
      </c>
      <c r="K33" s="68">
        <v>186.101</v>
      </c>
      <c r="L33" s="68"/>
      <c r="M33" s="68"/>
      <c r="N33" s="68"/>
      <c r="O33" s="68"/>
      <c r="P33" s="68"/>
      <c r="Q33" s="68"/>
      <c r="R33" s="68"/>
      <c r="S33" s="68"/>
      <c r="T33" s="71">
        <v>241.362003509521</v>
      </c>
      <c r="U33" s="68">
        <v>251.88900000000001</v>
      </c>
      <c r="V33" s="68">
        <v>317.88900000000001</v>
      </c>
    </row>
    <row r="34" spans="1:22" x14ac:dyDescent="0.35">
      <c r="A34" s="59" t="s">
        <v>73</v>
      </c>
      <c r="B34" s="59" t="s">
        <v>74</v>
      </c>
      <c r="C34" s="62">
        <v>-1.796</v>
      </c>
      <c r="D34" s="62">
        <v>-58.377000000000002</v>
      </c>
      <c r="E34" s="62">
        <v>70.992000000000004</v>
      </c>
      <c r="F34" s="62">
        <v>-4.117</v>
      </c>
      <c r="G34" s="62">
        <v>11.112</v>
      </c>
      <c r="H34" s="62">
        <v>38.642000000000003</v>
      </c>
      <c r="I34" s="62">
        <v>67.013000000000005</v>
      </c>
      <c r="J34" s="62">
        <v>0</v>
      </c>
      <c r="K34" s="62">
        <v>0</v>
      </c>
      <c r="L34" s="62"/>
      <c r="M34" s="62"/>
      <c r="N34" s="62"/>
      <c r="O34" s="62"/>
      <c r="P34" s="62"/>
      <c r="Q34" s="62"/>
      <c r="R34" s="62"/>
      <c r="S34" s="62"/>
      <c r="T34" s="65">
        <v>0</v>
      </c>
      <c r="U34" s="62"/>
      <c r="V34" s="62"/>
    </row>
    <row r="35" spans="1:22" x14ac:dyDescent="0.35">
      <c r="A35" s="59" t="s">
        <v>75</v>
      </c>
      <c r="B35" s="59" t="s">
        <v>76</v>
      </c>
      <c r="C35" s="62" t="s">
        <v>33</v>
      </c>
      <c r="D35" s="62" t="s">
        <v>33</v>
      </c>
      <c r="E35" s="62" t="s">
        <v>33</v>
      </c>
      <c r="F35" s="62" t="s">
        <v>33</v>
      </c>
      <c r="G35" s="62">
        <v>10.029999999999999</v>
      </c>
      <c r="H35" s="62">
        <v>1.2709999999999999</v>
      </c>
      <c r="I35" s="62" t="s">
        <v>33</v>
      </c>
      <c r="J35" s="62" t="s">
        <v>33</v>
      </c>
      <c r="K35" s="62" t="s">
        <v>33</v>
      </c>
      <c r="L35" s="62"/>
      <c r="M35" s="62"/>
      <c r="N35" s="62"/>
      <c r="O35" s="62"/>
      <c r="P35" s="62"/>
      <c r="Q35" s="62"/>
      <c r="R35" s="62"/>
      <c r="S35" s="62"/>
      <c r="T35" s="65"/>
      <c r="U35" s="62"/>
      <c r="V35" s="62"/>
    </row>
    <row r="36" spans="1:22" x14ac:dyDescent="0.35">
      <c r="A36" s="59" t="s">
        <v>77</v>
      </c>
      <c r="B36" s="59" t="s">
        <v>78</v>
      </c>
      <c r="C36" s="62" t="s">
        <v>33</v>
      </c>
      <c r="D36" s="62" t="s">
        <v>33</v>
      </c>
      <c r="E36" s="62" t="s">
        <v>33</v>
      </c>
      <c r="F36" s="62" t="s">
        <v>33</v>
      </c>
      <c r="G36" s="62" t="s">
        <v>33</v>
      </c>
      <c r="H36" s="62" t="s">
        <v>33</v>
      </c>
      <c r="I36" s="62">
        <v>26.32</v>
      </c>
      <c r="J36" s="62" t="s">
        <v>33</v>
      </c>
      <c r="K36" s="62" t="s">
        <v>33</v>
      </c>
      <c r="L36" s="62"/>
      <c r="M36" s="62"/>
      <c r="N36" s="62"/>
      <c r="O36" s="62"/>
      <c r="P36" s="62"/>
      <c r="Q36" s="62"/>
      <c r="R36" s="62"/>
      <c r="S36" s="62"/>
      <c r="T36" s="65"/>
      <c r="U36" s="62"/>
      <c r="V36" s="62"/>
    </row>
    <row r="37" spans="1:22" x14ac:dyDescent="0.35">
      <c r="A37" s="59" t="s">
        <v>79</v>
      </c>
      <c r="B37" s="59" t="s">
        <v>80</v>
      </c>
      <c r="C37" s="62" t="s">
        <v>33</v>
      </c>
      <c r="D37" s="62" t="s">
        <v>33</v>
      </c>
      <c r="E37" s="62" t="s">
        <v>33</v>
      </c>
      <c r="F37" s="62" t="s">
        <v>33</v>
      </c>
      <c r="G37" s="62" t="s">
        <v>33</v>
      </c>
      <c r="H37" s="62">
        <v>36.591000000000001</v>
      </c>
      <c r="I37" s="62">
        <v>40.692999999999998</v>
      </c>
      <c r="J37" s="62" t="s">
        <v>33</v>
      </c>
      <c r="K37" s="62" t="s">
        <v>33</v>
      </c>
      <c r="L37" s="62"/>
      <c r="M37" s="62"/>
      <c r="N37" s="62"/>
      <c r="O37" s="62"/>
      <c r="P37" s="62"/>
      <c r="Q37" s="62"/>
      <c r="R37" s="62"/>
      <c r="S37" s="62"/>
      <c r="T37" s="65"/>
      <c r="U37" s="62"/>
      <c r="V37" s="62"/>
    </row>
    <row r="38" spans="1:22" x14ac:dyDescent="0.35">
      <c r="A38" s="59" t="s">
        <v>81</v>
      </c>
      <c r="B38" s="59" t="s">
        <v>82</v>
      </c>
      <c r="C38" s="62" t="s">
        <v>33</v>
      </c>
      <c r="D38" s="62" t="s">
        <v>33</v>
      </c>
      <c r="E38" s="62">
        <v>69.673000000000002</v>
      </c>
      <c r="F38" s="62">
        <v>4.5490000000000004</v>
      </c>
      <c r="G38" s="62" t="s">
        <v>33</v>
      </c>
      <c r="H38" s="62" t="s">
        <v>33</v>
      </c>
      <c r="I38" s="62" t="s">
        <v>33</v>
      </c>
      <c r="J38" s="62" t="s">
        <v>33</v>
      </c>
      <c r="K38" s="62" t="s">
        <v>33</v>
      </c>
      <c r="L38" s="62"/>
      <c r="M38" s="62"/>
      <c r="N38" s="62"/>
      <c r="O38" s="62"/>
      <c r="P38" s="62"/>
      <c r="Q38" s="62"/>
      <c r="R38" s="62"/>
      <c r="S38" s="62"/>
      <c r="T38" s="65"/>
      <c r="U38" s="62"/>
      <c r="V38" s="62"/>
    </row>
    <row r="39" spans="1:22" x14ac:dyDescent="0.35">
      <c r="A39" s="59" t="s">
        <v>83</v>
      </c>
      <c r="B39" s="59" t="s">
        <v>84</v>
      </c>
      <c r="C39" s="62" t="s">
        <v>33</v>
      </c>
      <c r="D39" s="62" t="s">
        <v>33</v>
      </c>
      <c r="E39" s="62">
        <v>1.319</v>
      </c>
      <c r="F39" s="62" t="s">
        <v>33</v>
      </c>
      <c r="G39" s="62">
        <v>1.0820000000000001</v>
      </c>
      <c r="H39" s="62">
        <v>0.78</v>
      </c>
      <c r="I39" s="62" t="s">
        <v>33</v>
      </c>
      <c r="J39" s="62" t="s">
        <v>33</v>
      </c>
      <c r="K39" s="62" t="s">
        <v>33</v>
      </c>
      <c r="L39" s="62"/>
      <c r="M39" s="62"/>
      <c r="N39" s="62"/>
      <c r="O39" s="62"/>
      <c r="P39" s="62"/>
      <c r="Q39" s="62"/>
      <c r="R39" s="62"/>
      <c r="S39" s="62"/>
      <c r="T39" s="65"/>
      <c r="U39" s="62"/>
      <c r="V39" s="62"/>
    </row>
    <row r="40" spans="1:22" x14ac:dyDescent="0.35">
      <c r="A40" s="59" t="s">
        <v>85</v>
      </c>
      <c r="B40" s="59" t="s">
        <v>86</v>
      </c>
      <c r="C40" s="62" t="s">
        <v>33</v>
      </c>
      <c r="D40" s="62" t="s">
        <v>33</v>
      </c>
      <c r="E40" s="62" t="s">
        <v>33</v>
      </c>
      <c r="F40" s="62">
        <v>-8.6660000000000004</v>
      </c>
      <c r="G40" s="62" t="s">
        <v>33</v>
      </c>
      <c r="H40" s="62" t="s">
        <v>33</v>
      </c>
      <c r="I40" s="62" t="s">
        <v>33</v>
      </c>
      <c r="J40" s="62" t="s">
        <v>33</v>
      </c>
      <c r="K40" s="62" t="s">
        <v>33</v>
      </c>
      <c r="L40" s="62"/>
      <c r="M40" s="62"/>
      <c r="N40" s="62"/>
      <c r="O40" s="62"/>
      <c r="P40" s="62"/>
      <c r="Q40" s="62"/>
      <c r="R40" s="62"/>
      <c r="S40" s="62"/>
      <c r="T40" s="65"/>
      <c r="U40" s="62"/>
      <c r="V40" s="62"/>
    </row>
    <row r="41" spans="1:22" x14ac:dyDescent="0.35">
      <c r="A41" s="55" t="s">
        <v>87</v>
      </c>
      <c r="B41" s="55" t="s">
        <v>72</v>
      </c>
      <c r="C41" s="68">
        <v>36.950000000000003</v>
      </c>
      <c r="D41" s="68">
        <v>17.076000000000001</v>
      </c>
      <c r="E41" s="68">
        <v>-33.893000000000001</v>
      </c>
      <c r="F41" s="68">
        <v>102.003</v>
      </c>
      <c r="G41" s="68">
        <v>89.941000000000003</v>
      </c>
      <c r="H41" s="68">
        <v>84.296000000000006</v>
      </c>
      <c r="I41" s="68">
        <v>93.138999999999996</v>
      </c>
      <c r="J41" s="68">
        <v>190.369</v>
      </c>
      <c r="K41" s="68">
        <v>186.101</v>
      </c>
      <c r="L41" s="68"/>
      <c r="M41" s="68"/>
      <c r="N41" s="68"/>
      <c r="O41" s="68"/>
      <c r="P41" s="68"/>
      <c r="Q41" s="68"/>
      <c r="R41" s="68"/>
      <c r="S41" s="68"/>
      <c r="T41" s="71">
        <v>241.362003509521</v>
      </c>
      <c r="U41" s="68">
        <v>251.88900000000001</v>
      </c>
      <c r="V41" s="68">
        <v>317.88900000000001</v>
      </c>
    </row>
    <row r="42" spans="1:22" x14ac:dyDescent="0.35">
      <c r="A42" s="59" t="s">
        <v>88</v>
      </c>
      <c r="B42" s="59" t="s">
        <v>89</v>
      </c>
      <c r="C42" s="62">
        <v>1.226</v>
      </c>
      <c r="D42" s="62">
        <v>-62.911000000000001</v>
      </c>
      <c r="E42" s="62">
        <v>-2.6240000000000001</v>
      </c>
      <c r="F42" s="62">
        <v>27.75</v>
      </c>
      <c r="G42" s="62">
        <v>23.225000000000001</v>
      </c>
      <c r="H42" s="62">
        <v>25.605</v>
      </c>
      <c r="I42" s="62">
        <v>28.844000000000001</v>
      </c>
      <c r="J42" s="62">
        <v>44.536999999999999</v>
      </c>
      <c r="K42" s="62">
        <v>42.081000000000003</v>
      </c>
      <c r="L42" s="62"/>
      <c r="M42" s="62"/>
      <c r="N42" s="62"/>
      <c r="O42" s="62"/>
      <c r="P42" s="62"/>
      <c r="Q42" s="62"/>
      <c r="R42" s="62"/>
      <c r="S42" s="62"/>
      <c r="T42" s="65">
        <v>49.947000000000003</v>
      </c>
      <c r="U42" s="62"/>
      <c r="V42" s="62"/>
    </row>
    <row r="43" spans="1:22" x14ac:dyDescent="0.35">
      <c r="A43" s="59" t="s">
        <v>90</v>
      </c>
      <c r="B43" s="59" t="s">
        <v>91</v>
      </c>
      <c r="C43" s="62" t="s">
        <v>33</v>
      </c>
      <c r="D43" s="62" t="s">
        <v>33</v>
      </c>
      <c r="E43" s="62">
        <v>-1.2E-2</v>
      </c>
      <c r="F43" s="62">
        <v>1.583</v>
      </c>
      <c r="G43" s="62">
        <v>1.552</v>
      </c>
      <c r="H43" s="62">
        <v>1.611</v>
      </c>
      <c r="I43" s="62">
        <v>4.3739999999999997</v>
      </c>
      <c r="J43" s="62">
        <v>5.327</v>
      </c>
      <c r="K43" s="62">
        <v>36.171999999999997</v>
      </c>
      <c r="L43" s="62"/>
      <c r="M43" s="62"/>
      <c r="N43" s="62"/>
      <c r="O43" s="62"/>
      <c r="P43" s="62"/>
      <c r="Q43" s="62"/>
      <c r="R43" s="62"/>
      <c r="S43" s="62"/>
      <c r="T43" s="65"/>
      <c r="U43" s="62"/>
      <c r="V43" s="62"/>
    </row>
    <row r="44" spans="1:22" x14ac:dyDescent="0.35">
      <c r="A44" s="59" t="s">
        <v>92</v>
      </c>
      <c r="B44" s="59" t="s">
        <v>93</v>
      </c>
      <c r="C44" s="62" t="s">
        <v>33</v>
      </c>
      <c r="D44" s="62" t="s">
        <v>33</v>
      </c>
      <c r="E44" s="62">
        <v>-2.6120000000000001</v>
      </c>
      <c r="F44" s="62">
        <v>26.167000000000002</v>
      </c>
      <c r="G44" s="62">
        <v>21.672999999999998</v>
      </c>
      <c r="H44" s="62">
        <v>23.994</v>
      </c>
      <c r="I44" s="62">
        <v>24.47</v>
      </c>
      <c r="J44" s="62">
        <v>39.21</v>
      </c>
      <c r="K44" s="62">
        <v>5.9089999999999998</v>
      </c>
      <c r="L44" s="62"/>
      <c r="M44" s="62"/>
      <c r="N44" s="62"/>
      <c r="O44" s="62"/>
      <c r="P44" s="62"/>
      <c r="Q44" s="62"/>
      <c r="R44" s="62"/>
      <c r="S44" s="62"/>
      <c r="T44" s="65"/>
      <c r="U44" s="62"/>
      <c r="V44" s="62"/>
    </row>
    <row r="45" spans="1:22" x14ac:dyDescent="0.35">
      <c r="A45" s="59" t="s">
        <v>94</v>
      </c>
      <c r="B45" s="59" t="s">
        <v>95</v>
      </c>
      <c r="C45" s="62" t="s">
        <v>33</v>
      </c>
      <c r="D45" s="62" t="s">
        <v>33</v>
      </c>
      <c r="E45" s="62">
        <v>0</v>
      </c>
      <c r="F45" s="62">
        <v>0</v>
      </c>
      <c r="G45" s="62">
        <v>0</v>
      </c>
      <c r="H45" s="62">
        <v>0</v>
      </c>
      <c r="I45" s="62">
        <v>0</v>
      </c>
      <c r="J45" s="62">
        <v>0</v>
      </c>
      <c r="K45" s="62" t="s">
        <v>33</v>
      </c>
      <c r="L45" s="62"/>
      <c r="M45" s="62"/>
      <c r="N45" s="62"/>
      <c r="O45" s="62"/>
      <c r="P45" s="62"/>
      <c r="Q45" s="62"/>
      <c r="R45" s="62"/>
      <c r="S45" s="62"/>
      <c r="T45" s="65"/>
      <c r="U45" s="62"/>
      <c r="V45" s="62"/>
    </row>
    <row r="46" spans="1:22" x14ac:dyDescent="0.35">
      <c r="A46" s="55" t="s">
        <v>96</v>
      </c>
      <c r="B46" s="55" t="s">
        <v>97</v>
      </c>
      <c r="C46" s="68">
        <v>35.723999999999997</v>
      </c>
      <c r="D46" s="68">
        <v>79.986999999999995</v>
      </c>
      <c r="E46" s="68">
        <v>-31.268999999999998</v>
      </c>
      <c r="F46" s="68">
        <v>74.253</v>
      </c>
      <c r="G46" s="68">
        <v>66.715999999999994</v>
      </c>
      <c r="H46" s="68">
        <v>58.691000000000003</v>
      </c>
      <c r="I46" s="68">
        <v>64.295000000000002</v>
      </c>
      <c r="J46" s="68">
        <v>145.83199999999999</v>
      </c>
      <c r="K46" s="68">
        <v>144.02000000000001</v>
      </c>
      <c r="L46" s="68"/>
      <c r="M46" s="68"/>
      <c r="N46" s="68"/>
      <c r="O46" s="68"/>
      <c r="P46" s="68"/>
      <c r="Q46" s="68"/>
      <c r="R46" s="68"/>
      <c r="S46" s="68"/>
      <c r="T46" s="71">
        <v>190.93799999999999</v>
      </c>
      <c r="U46" s="68">
        <v>193.22200000000001</v>
      </c>
      <c r="V46" s="68">
        <v>238.22200000000001</v>
      </c>
    </row>
    <row r="47" spans="1:22" x14ac:dyDescent="0.35">
      <c r="A47" s="59" t="s">
        <v>98</v>
      </c>
      <c r="B47" s="59" t="s">
        <v>99</v>
      </c>
      <c r="C47" s="62">
        <v>0</v>
      </c>
      <c r="D47" s="62">
        <v>0</v>
      </c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/>
      <c r="M47" s="62"/>
      <c r="N47" s="62"/>
      <c r="O47" s="62"/>
      <c r="P47" s="62"/>
      <c r="Q47" s="62"/>
      <c r="R47" s="62"/>
      <c r="S47" s="62"/>
      <c r="T47" s="65">
        <v>0</v>
      </c>
      <c r="U47" s="62"/>
      <c r="V47" s="62"/>
    </row>
    <row r="48" spans="1:22" x14ac:dyDescent="0.35">
      <c r="A48" s="59" t="s">
        <v>100</v>
      </c>
      <c r="B48" s="59" t="s">
        <v>101</v>
      </c>
      <c r="C48" s="62" t="s">
        <v>33</v>
      </c>
      <c r="D48" s="62" t="s">
        <v>33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/>
      <c r="M48" s="62"/>
      <c r="N48" s="62"/>
      <c r="O48" s="62"/>
      <c r="P48" s="62"/>
      <c r="Q48" s="62"/>
      <c r="R48" s="62"/>
      <c r="S48" s="62"/>
      <c r="T48" s="65">
        <v>0</v>
      </c>
      <c r="U48" s="62"/>
      <c r="V48" s="62"/>
    </row>
    <row r="49" spans="1:22" x14ac:dyDescent="0.35">
      <c r="A49" s="59" t="s">
        <v>102</v>
      </c>
      <c r="B49" s="59" t="s">
        <v>103</v>
      </c>
      <c r="C49" s="62" t="s">
        <v>33</v>
      </c>
      <c r="D49" s="62" t="s">
        <v>33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/>
      <c r="M49" s="62"/>
      <c r="N49" s="62"/>
      <c r="O49" s="62"/>
      <c r="P49" s="62"/>
      <c r="Q49" s="62"/>
      <c r="R49" s="62"/>
      <c r="S49" s="62"/>
      <c r="T49" s="65">
        <v>0</v>
      </c>
      <c r="U49" s="62"/>
      <c r="V49" s="62"/>
    </row>
    <row r="50" spans="1:22" x14ac:dyDescent="0.35">
      <c r="A50" s="55" t="s">
        <v>104</v>
      </c>
      <c r="B50" s="55" t="s">
        <v>105</v>
      </c>
      <c r="C50" s="68">
        <v>35.723999999999997</v>
      </c>
      <c r="D50" s="68">
        <v>79.986999999999995</v>
      </c>
      <c r="E50" s="68">
        <v>-31.268999999999998</v>
      </c>
      <c r="F50" s="68">
        <v>74.253</v>
      </c>
      <c r="G50" s="68">
        <v>66.715999999999994</v>
      </c>
      <c r="H50" s="68">
        <v>58.691000000000003</v>
      </c>
      <c r="I50" s="68">
        <v>64.295000000000002</v>
      </c>
      <c r="J50" s="68">
        <v>145.83199999999999</v>
      </c>
      <c r="K50" s="68">
        <v>144.02000000000001</v>
      </c>
      <c r="L50" s="68"/>
      <c r="M50" s="68"/>
      <c r="N50" s="68"/>
      <c r="O50" s="68"/>
      <c r="P50" s="68"/>
      <c r="Q50" s="68"/>
      <c r="R50" s="68"/>
      <c r="S50" s="68"/>
      <c r="T50" s="71">
        <v>190.93799999999999</v>
      </c>
      <c r="U50" s="68"/>
      <c r="V50" s="68"/>
    </row>
    <row r="51" spans="1:22" x14ac:dyDescent="0.35">
      <c r="A51" s="59" t="s">
        <v>106</v>
      </c>
      <c r="B51" s="59" t="s">
        <v>107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/>
      <c r="M51" s="62"/>
      <c r="N51" s="62"/>
      <c r="O51" s="62"/>
      <c r="P51" s="62"/>
      <c r="Q51" s="62"/>
      <c r="R51" s="62"/>
      <c r="S51" s="62"/>
      <c r="T51" s="65">
        <v>0</v>
      </c>
      <c r="U51" s="62"/>
      <c r="V51" s="62"/>
    </row>
    <row r="52" spans="1:22" x14ac:dyDescent="0.35">
      <c r="A52" s="55" t="s">
        <v>108</v>
      </c>
      <c r="B52" s="55" t="s">
        <v>109</v>
      </c>
      <c r="C52" s="68">
        <v>35.723999999999997</v>
      </c>
      <c r="D52" s="68">
        <v>79.986999999999995</v>
      </c>
      <c r="E52" s="68">
        <v>-31.268999999999998</v>
      </c>
      <c r="F52" s="68">
        <v>74.253</v>
      </c>
      <c r="G52" s="68">
        <v>66.715999999999994</v>
      </c>
      <c r="H52" s="68">
        <v>58.691000000000003</v>
      </c>
      <c r="I52" s="68">
        <v>64.295000000000002</v>
      </c>
      <c r="J52" s="68">
        <v>145.83199999999999</v>
      </c>
      <c r="K52" s="68">
        <v>144.02000000000001</v>
      </c>
      <c r="L52" s="68"/>
      <c r="M52" s="68"/>
      <c r="N52" s="68"/>
      <c r="O52" s="68"/>
      <c r="P52" s="68"/>
      <c r="Q52" s="68"/>
      <c r="R52" s="68"/>
      <c r="S52" s="68"/>
      <c r="T52" s="71">
        <v>190.93799999999999</v>
      </c>
      <c r="U52" s="68">
        <v>193.22200000000001</v>
      </c>
      <c r="V52" s="68">
        <v>238.22200000000001</v>
      </c>
    </row>
    <row r="53" spans="1:22" x14ac:dyDescent="0.35">
      <c r="A53" s="59" t="s">
        <v>110</v>
      </c>
      <c r="B53" s="59" t="s">
        <v>111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62">
        <v>0</v>
      </c>
      <c r="L53" s="62"/>
      <c r="M53" s="62"/>
      <c r="N53" s="62"/>
      <c r="O53" s="62"/>
      <c r="P53" s="62"/>
      <c r="Q53" s="62"/>
      <c r="R53" s="62"/>
      <c r="S53" s="62"/>
      <c r="T53" s="65">
        <v>0</v>
      </c>
      <c r="U53" s="62"/>
      <c r="V53" s="62"/>
    </row>
    <row r="54" spans="1:22" x14ac:dyDescent="0.35">
      <c r="A54" s="59" t="s">
        <v>112</v>
      </c>
      <c r="B54" s="59" t="s">
        <v>113</v>
      </c>
      <c r="C54" s="62">
        <v>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/>
      <c r="M54" s="62"/>
      <c r="N54" s="62"/>
      <c r="O54" s="62"/>
      <c r="P54" s="62"/>
      <c r="Q54" s="62"/>
      <c r="R54" s="62"/>
      <c r="S54" s="62"/>
      <c r="T54" s="65">
        <v>0</v>
      </c>
      <c r="U54" s="62"/>
      <c r="V54" s="62"/>
    </row>
    <row r="55" spans="1:22" x14ac:dyDescent="0.35">
      <c r="A55" s="55" t="s">
        <v>114</v>
      </c>
      <c r="B55" s="55" t="s">
        <v>115</v>
      </c>
      <c r="C55" s="68">
        <v>35.723999999999997</v>
      </c>
      <c r="D55" s="68">
        <v>79.986999999999995</v>
      </c>
      <c r="E55" s="68">
        <v>-31.268999999999998</v>
      </c>
      <c r="F55" s="68">
        <v>74.253</v>
      </c>
      <c r="G55" s="68">
        <v>66.715999999999994</v>
      </c>
      <c r="H55" s="68">
        <v>58.691000000000003</v>
      </c>
      <c r="I55" s="68">
        <v>64.295000000000002</v>
      </c>
      <c r="J55" s="68">
        <v>145.83199999999999</v>
      </c>
      <c r="K55" s="68">
        <v>144.02000000000001</v>
      </c>
      <c r="L55" s="68"/>
      <c r="M55" s="68"/>
      <c r="N55" s="68"/>
      <c r="O55" s="68"/>
      <c r="P55" s="68"/>
      <c r="Q55" s="68"/>
      <c r="R55" s="68"/>
      <c r="S55" s="68"/>
      <c r="T55" s="71">
        <v>190.937999145508</v>
      </c>
      <c r="U55" s="68">
        <v>193.22200000000001</v>
      </c>
      <c r="V55" s="68">
        <v>238.22200000000001</v>
      </c>
    </row>
    <row r="56" spans="1:22" x14ac:dyDescent="0.35">
      <c r="A56" s="55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70"/>
      <c r="U56" s="67"/>
      <c r="V56" s="67"/>
    </row>
    <row r="57" spans="1:22" x14ac:dyDescent="0.35">
      <c r="A57" s="55" t="s">
        <v>116</v>
      </c>
      <c r="B57" s="55" t="s">
        <v>115</v>
      </c>
      <c r="C57" s="68">
        <v>35.723999999999997</v>
      </c>
      <c r="D57" s="68">
        <v>79.986999999999995</v>
      </c>
      <c r="E57" s="68">
        <v>14.855449999999999</v>
      </c>
      <c r="F57" s="68">
        <v>71.576949999999997</v>
      </c>
      <c r="G57" s="68">
        <v>73.938800000000001</v>
      </c>
      <c r="H57" s="68">
        <v>83.808300000000003</v>
      </c>
      <c r="I57" s="68">
        <v>107.85345</v>
      </c>
      <c r="J57" s="68">
        <v>145.83199999999999</v>
      </c>
      <c r="K57" s="68">
        <v>144.02000000000001</v>
      </c>
      <c r="L57" s="68"/>
      <c r="M57" s="68"/>
      <c r="N57" s="68"/>
      <c r="O57" s="68"/>
      <c r="P57" s="68"/>
      <c r="Q57" s="68"/>
      <c r="R57" s="68"/>
      <c r="S57" s="68"/>
      <c r="T57" s="71">
        <v>190.937999145508</v>
      </c>
      <c r="U57" s="68">
        <v>196.7</v>
      </c>
      <c r="V57" s="68">
        <v>242.6</v>
      </c>
    </row>
    <row r="58" spans="1:22" x14ac:dyDescent="0.35">
      <c r="A58" s="59" t="s">
        <v>117</v>
      </c>
      <c r="B58" s="59" t="s">
        <v>118</v>
      </c>
      <c r="C58" s="62" t="s">
        <v>33</v>
      </c>
      <c r="D58" s="62" t="s">
        <v>33</v>
      </c>
      <c r="E58" s="62">
        <v>46.124450000000003</v>
      </c>
      <c r="F58" s="62">
        <v>-2.67605</v>
      </c>
      <c r="G58" s="62">
        <v>7.2228000000000003</v>
      </c>
      <c r="H58" s="62">
        <v>25.1173</v>
      </c>
      <c r="I58" s="62">
        <v>43.558450000000001</v>
      </c>
      <c r="J58" s="62">
        <v>0</v>
      </c>
      <c r="K58" s="62">
        <v>0</v>
      </c>
      <c r="L58" s="62"/>
      <c r="M58" s="62"/>
      <c r="N58" s="62"/>
      <c r="O58" s="62"/>
      <c r="P58" s="62"/>
      <c r="Q58" s="62"/>
      <c r="R58" s="62"/>
      <c r="S58" s="62"/>
      <c r="T58" s="65">
        <v>0</v>
      </c>
      <c r="U58" s="62"/>
      <c r="V58" s="62"/>
    </row>
    <row r="59" spans="1:22" x14ac:dyDescent="0.35">
      <c r="A59" s="59" t="s">
        <v>119</v>
      </c>
      <c r="B59" s="59" t="s">
        <v>99</v>
      </c>
      <c r="C59" s="62">
        <v>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/>
      <c r="M59" s="62"/>
      <c r="N59" s="62"/>
      <c r="O59" s="62"/>
      <c r="P59" s="62"/>
      <c r="Q59" s="62"/>
      <c r="R59" s="62"/>
      <c r="S59" s="62"/>
      <c r="T59" s="65">
        <v>0</v>
      </c>
      <c r="U59" s="62"/>
      <c r="V59" s="62"/>
    </row>
    <row r="60" spans="1:22" x14ac:dyDescent="0.35">
      <c r="A60" s="55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70"/>
      <c r="U60" s="67"/>
      <c r="V60" s="67"/>
    </row>
    <row r="61" spans="1:22" x14ac:dyDescent="0.35">
      <c r="A61" s="59" t="s">
        <v>120</v>
      </c>
      <c r="B61" s="59" t="s">
        <v>121</v>
      </c>
      <c r="C61" s="62">
        <v>67.176000000000002</v>
      </c>
      <c r="D61" s="62">
        <v>66.811999999999998</v>
      </c>
      <c r="E61" s="62">
        <v>69.093999999999994</v>
      </c>
      <c r="F61" s="62">
        <v>75.825000000000003</v>
      </c>
      <c r="G61" s="62">
        <v>77.988</v>
      </c>
      <c r="H61" s="62">
        <v>80.528999999999996</v>
      </c>
      <c r="I61" s="62">
        <v>80.551000000000002</v>
      </c>
      <c r="J61" s="62">
        <v>80.754000000000005</v>
      </c>
      <c r="K61" s="62">
        <v>79.998000000000005</v>
      </c>
      <c r="L61" s="62"/>
      <c r="M61" s="62"/>
      <c r="N61" s="62"/>
      <c r="O61" s="62"/>
      <c r="P61" s="62"/>
      <c r="Q61" s="62"/>
      <c r="R61" s="62"/>
      <c r="S61" s="62"/>
      <c r="T61" s="65">
        <v>79.977000000000004</v>
      </c>
      <c r="U61" s="62"/>
      <c r="V61" s="62"/>
    </row>
    <row r="62" spans="1:22" x14ac:dyDescent="0.35">
      <c r="A62" s="112" t="s">
        <v>122</v>
      </c>
      <c r="B62" s="112" t="s">
        <v>123</v>
      </c>
      <c r="C62" s="113">
        <v>0.53</v>
      </c>
      <c r="D62" s="113">
        <v>1.2</v>
      </c>
      <c r="E62" s="113">
        <v>-0.45</v>
      </c>
      <c r="F62" s="113">
        <v>0.98</v>
      </c>
      <c r="G62" s="113">
        <v>0.86</v>
      </c>
      <c r="H62" s="113">
        <v>0.73</v>
      </c>
      <c r="I62" s="113">
        <v>0.8</v>
      </c>
      <c r="J62" s="113">
        <v>1.81</v>
      </c>
      <c r="K62" s="113">
        <v>1.8</v>
      </c>
      <c r="L62" s="69"/>
      <c r="M62" s="69"/>
      <c r="N62" s="69"/>
      <c r="O62" s="69"/>
      <c r="P62" s="69"/>
      <c r="Q62" s="69"/>
      <c r="R62" s="69"/>
      <c r="S62" s="69"/>
      <c r="T62" s="72">
        <v>2.39</v>
      </c>
      <c r="U62" s="69">
        <v>2.41</v>
      </c>
      <c r="V62" s="69">
        <v>2.927</v>
      </c>
    </row>
    <row r="63" spans="1:22" x14ac:dyDescent="0.35">
      <c r="A63" s="55" t="s">
        <v>124</v>
      </c>
      <c r="B63" s="55" t="s">
        <v>125</v>
      </c>
      <c r="C63" s="69">
        <v>0.53</v>
      </c>
      <c r="D63" s="69">
        <v>1.2</v>
      </c>
      <c r="E63" s="69">
        <v>-0.45</v>
      </c>
      <c r="F63" s="69">
        <v>0.98</v>
      </c>
      <c r="G63" s="69">
        <v>0.86</v>
      </c>
      <c r="H63" s="69">
        <v>0.73</v>
      </c>
      <c r="I63" s="69">
        <v>0.8</v>
      </c>
      <c r="J63" s="69">
        <v>1.81</v>
      </c>
      <c r="K63" s="69">
        <v>1.8</v>
      </c>
      <c r="L63" s="69"/>
      <c r="M63" s="69"/>
      <c r="N63" s="69"/>
      <c r="O63" s="69"/>
      <c r="P63" s="69"/>
      <c r="Q63" s="69"/>
      <c r="R63" s="69"/>
      <c r="S63" s="69"/>
      <c r="T63" s="72">
        <v>2.39</v>
      </c>
      <c r="U63" s="69">
        <v>2.41</v>
      </c>
      <c r="V63" s="69">
        <v>2.927</v>
      </c>
    </row>
    <row r="64" spans="1:22" x14ac:dyDescent="0.35">
      <c r="A64" s="55" t="s">
        <v>126</v>
      </c>
      <c r="B64" s="55" t="s">
        <v>127</v>
      </c>
      <c r="C64" s="69">
        <v>0.51</v>
      </c>
      <c r="D64" s="69">
        <v>0.33</v>
      </c>
      <c r="E64" s="69">
        <v>0.215003</v>
      </c>
      <c r="F64" s="69">
        <v>0.94397600000000004</v>
      </c>
      <c r="G64" s="69">
        <v>0.94807900000000001</v>
      </c>
      <c r="H64" s="69">
        <v>1.0407219999999999</v>
      </c>
      <c r="I64" s="69">
        <v>1.338946</v>
      </c>
      <c r="J64" s="69">
        <v>1.81</v>
      </c>
      <c r="K64" s="69">
        <v>1.8</v>
      </c>
      <c r="L64" s="69"/>
      <c r="M64" s="69"/>
      <c r="N64" s="69"/>
      <c r="O64" s="69"/>
      <c r="P64" s="69"/>
      <c r="Q64" s="69"/>
      <c r="R64" s="69"/>
      <c r="S64" s="69"/>
      <c r="T64" s="72">
        <v>2.39</v>
      </c>
      <c r="U64" s="69">
        <v>2.4129999999999998</v>
      </c>
      <c r="V64" s="69">
        <v>2.992</v>
      </c>
    </row>
    <row r="65" spans="1:22" x14ac:dyDescent="0.35">
      <c r="A65" s="55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70"/>
      <c r="U65" s="67"/>
      <c r="V65" s="67"/>
    </row>
    <row r="66" spans="1:22" x14ac:dyDescent="0.35">
      <c r="A66" s="59" t="s">
        <v>128</v>
      </c>
      <c r="B66" s="59" t="s">
        <v>129</v>
      </c>
      <c r="C66" s="62">
        <v>71.444000000000003</v>
      </c>
      <c r="D66" s="62">
        <v>68.063999999999993</v>
      </c>
      <c r="E66" s="62">
        <v>69.093999999999994</v>
      </c>
      <c r="F66" s="62">
        <v>78.08</v>
      </c>
      <c r="G66" s="62">
        <v>80.293999999999997</v>
      </c>
      <c r="H66" s="62">
        <v>83.04</v>
      </c>
      <c r="I66" s="62">
        <v>82.588999999999999</v>
      </c>
      <c r="J66" s="62">
        <v>82.283000000000001</v>
      </c>
      <c r="K66" s="62">
        <v>81.521000000000001</v>
      </c>
      <c r="L66" s="62"/>
      <c r="M66" s="62"/>
      <c r="N66" s="62"/>
      <c r="O66" s="62"/>
      <c r="P66" s="62"/>
      <c r="Q66" s="62"/>
      <c r="R66" s="62"/>
      <c r="S66" s="62"/>
      <c r="T66" s="65">
        <v>81.465999999999994</v>
      </c>
      <c r="U66" s="62"/>
      <c r="V66" s="62"/>
    </row>
    <row r="67" spans="1:22" x14ac:dyDescent="0.35">
      <c r="A67" s="55" t="s">
        <v>130</v>
      </c>
      <c r="B67" s="55" t="s">
        <v>131</v>
      </c>
      <c r="C67" s="69">
        <v>0.5</v>
      </c>
      <c r="D67" s="69">
        <v>1.18</v>
      </c>
      <c r="E67" s="69">
        <v>-0.45</v>
      </c>
      <c r="F67" s="69">
        <v>0.95</v>
      </c>
      <c r="G67" s="69">
        <v>0.83</v>
      </c>
      <c r="H67" s="69">
        <v>0.71</v>
      </c>
      <c r="I67" s="69">
        <v>0.78</v>
      </c>
      <c r="J67" s="69">
        <v>1.77</v>
      </c>
      <c r="K67" s="69">
        <v>1.77</v>
      </c>
      <c r="L67" s="69"/>
      <c r="M67" s="69"/>
      <c r="N67" s="69"/>
      <c r="O67" s="69"/>
      <c r="P67" s="69"/>
      <c r="Q67" s="69"/>
      <c r="R67" s="69"/>
      <c r="S67" s="69"/>
      <c r="T67" s="72">
        <v>2.35</v>
      </c>
      <c r="U67" s="69">
        <v>2.41</v>
      </c>
      <c r="V67" s="69">
        <v>2.927</v>
      </c>
    </row>
    <row r="68" spans="1:22" x14ac:dyDescent="0.35">
      <c r="A68" s="55" t="s">
        <v>132</v>
      </c>
      <c r="B68" s="55" t="s">
        <v>133</v>
      </c>
      <c r="C68" s="69">
        <v>0.5</v>
      </c>
      <c r="D68" s="69">
        <v>1.18</v>
      </c>
      <c r="E68" s="69">
        <v>-0.45</v>
      </c>
      <c r="F68" s="69">
        <v>0.95</v>
      </c>
      <c r="G68" s="69">
        <v>0.83</v>
      </c>
      <c r="H68" s="69">
        <v>0.71</v>
      </c>
      <c r="I68" s="69">
        <v>0.78</v>
      </c>
      <c r="J68" s="69">
        <v>1.77</v>
      </c>
      <c r="K68" s="69">
        <v>1.77</v>
      </c>
      <c r="L68" s="69"/>
      <c r="M68" s="69"/>
      <c r="N68" s="69"/>
      <c r="O68" s="69"/>
      <c r="P68" s="69"/>
      <c r="Q68" s="69"/>
      <c r="R68" s="69"/>
      <c r="S68" s="69"/>
      <c r="T68" s="72">
        <v>2.35</v>
      </c>
      <c r="U68" s="69">
        <v>2.41</v>
      </c>
      <c r="V68" s="69">
        <v>2.927</v>
      </c>
    </row>
    <row r="69" spans="1:22" x14ac:dyDescent="0.35">
      <c r="A69" s="55" t="s">
        <v>134</v>
      </c>
      <c r="B69" s="55" t="s">
        <v>135</v>
      </c>
      <c r="C69" s="69">
        <v>0.48</v>
      </c>
      <c r="D69" s="69">
        <v>0.32</v>
      </c>
      <c r="E69" s="69">
        <v>0.215003</v>
      </c>
      <c r="F69" s="69">
        <v>0.91572699999999996</v>
      </c>
      <c r="G69" s="69">
        <v>0.91995400000000005</v>
      </c>
      <c r="H69" s="69">
        <v>1.012472</v>
      </c>
      <c r="I69" s="69">
        <v>1.307412</v>
      </c>
      <c r="J69" s="69">
        <v>1.77</v>
      </c>
      <c r="K69" s="69">
        <v>1.77</v>
      </c>
      <c r="L69" s="69"/>
      <c r="M69" s="69"/>
      <c r="N69" s="69"/>
      <c r="O69" s="69"/>
      <c r="P69" s="69"/>
      <c r="Q69" s="69"/>
      <c r="R69" s="69"/>
      <c r="S69" s="69"/>
      <c r="T69" s="72">
        <v>2.35</v>
      </c>
      <c r="U69" s="69">
        <v>2.4129999999999998</v>
      </c>
      <c r="V69" s="69">
        <v>2.992</v>
      </c>
    </row>
    <row r="70" spans="1:22" x14ac:dyDescent="0.35">
      <c r="A70" s="55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70"/>
      <c r="U70" s="67"/>
      <c r="V70" s="67"/>
    </row>
    <row r="71" spans="1:22" x14ac:dyDescent="0.35">
      <c r="A71" s="55" t="s">
        <v>2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70"/>
      <c r="U71" s="67"/>
      <c r="V71" s="67"/>
    </row>
    <row r="72" spans="1:22" x14ac:dyDescent="0.35">
      <c r="A72" s="59" t="s">
        <v>136</v>
      </c>
      <c r="B72" s="59" t="s">
        <v>137</v>
      </c>
      <c r="C72" s="61" t="s">
        <v>138</v>
      </c>
      <c r="D72" s="61" t="s">
        <v>138</v>
      </c>
      <c r="E72" s="61" t="s">
        <v>138</v>
      </c>
      <c r="F72" s="61" t="s">
        <v>138</v>
      </c>
      <c r="G72" s="61" t="s">
        <v>138</v>
      </c>
      <c r="H72" s="61" t="s">
        <v>138</v>
      </c>
      <c r="I72" s="61" t="s">
        <v>138</v>
      </c>
      <c r="J72" s="61" t="s">
        <v>138</v>
      </c>
      <c r="K72" s="61" t="s">
        <v>138</v>
      </c>
      <c r="L72" s="61"/>
      <c r="M72" s="61"/>
      <c r="N72" s="61"/>
      <c r="O72" s="61"/>
      <c r="P72" s="61"/>
      <c r="Q72" s="61"/>
      <c r="R72" s="61"/>
      <c r="S72" s="61"/>
      <c r="T72" s="64"/>
      <c r="U72" s="61"/>
      <c r="V72" s="61"/>
    </row>
    <row r="73" spans="1:22" x14ac:dyDescent="0.35">
      <c r="A73" s="59" t="s">
        <v>139</v>
      </c>
      <c r="B73" s="59" t="s">
        <v>139</v>
      </c>
      <c r="C73" s="62">
        <v>45.444000000000003</v>
      </c>
      <c r="D73" s="62">
        <v>34.536000000000001</v>
      </c>
      <c r="E73" s="62">
        <v>49.984000000000002</v>
      </c>
      <c r="F73" s="62">
        <v>112.803</v>
      </c>
      <c r="G73" s="62">
        <v>118.949</v>
      </c>
      <c r="H73" s="62">
        <v>142.04499999999999</v>
      </c>
      <c r="I73" s="62">
        <v>178.05</v>
      </c>
      <c r="J73" s="62">
        <v>211.43199999999999</v>
      </c>
      <c r="K73" s="62">
        <v>206.63800000000001</v>
      </c>
      <c r="L73" s="62"/>
      <c r="M73" s="62"/>
      <c r="N73" s="62"/>
      <c r="O73" s="62"/>
      <c r="P73" s="62"/>
      <c r="Q73" s="62"/>
      <c r="R73" s="62"/>
      <c r="S73" s="62"/>
      <c r="T73" s="65">
        <v>261.53699999999998</v>
      </c>
      <c r="U73" s="62">
        <v>272.125</v>
      </c>
      <c r="V73" s="62">
        <v>341.25</v>
      </c>
    </row>
    <row r="74" spans="1:22" x14ac:dyDescent="0.35">
      <c r="A74" s="59" t="s">
        <v>140</v>
      </c>
      <c r="B74" s="59" t="s">
        <v>141</v>
      </c>
      <c r="C74" s="63">
        <v>15.982723999999999</v>
      </c>
      <c r="D74" s="63">
        <v>11.361423</v>
      </c>
      <c r="E74" s="63">
        <v>16.003432</v>
      </c>
      <c r="F74" s="63">
        <v>29.138574999999999</v>
      </c>
      <c r="G74" s="63">
        <v>24.794419999999999</v>
      </c>
      <c r="H74" s="63">
        <v>25.363322</v>
      </c>
      <c r="I74" s="63">
        <v>26.968855000000001</v>
      </c>
      <c r="J74" s="63">
        <v>27.759623000000001</v>
      </c>
      <c r="K74" s="63">
        <v>24.440144</v>
      </c>
      <c r="L74" s="63"/>
      <c r="M74" s="63"/>
      <c r="N74" s="63"/>
      <c r="O74" s="63"/>
      <c r="P74" s="63"/>
      <c r="Q74" s="63"/>
      <c r="R74" s="63"/>
      <c r="S74" s="63"/>
      <c r="T74" s="66">
        <v>25.7178594361358</v>
      </c>
      <c r="U74" s="63">
        <v>25.230914441586702</v>
      </c>
      <c r="V74" s="63">
        <v>26.532592520024799</v>
      </c>
    </row>
    <row r="75" spans="1:22" x14ac:dyDescent="0.35">
      <c r="A75" s="59" t="s">
        <v>142</v>
      </c>
      <c r="B75" s="59" t="s">
        <v>142</v>
      </c>
      <c r="C75" s="62">
        <v>35.244</v>
      </c>
      <c r="D75" s="62">
        <v>24.536000000000001</v>
      </c>
      <c r="E75" s="62" t="s">
        <v>33</v>
      </c>
      <c r="F75" s="62">
        <v>101.40300000000001</v>
      </c>
      <c r="G75" s="62" t="s">
        <v>33</v>
      </c>
      <c r="H75" s="62" t="s">
        <v>33</v>
      </c>
      <c r="I75" s="62" t="s">
        <v>33</v>
      </c>
      <c r="J75" s="62">
        <v>196.63200000000001</v>
      </c>
      <c r="K75" s="62" t="s">
        <v>33</v>
      </c>
      <c r="L75" s="62"/>
      <c r="M75" s="62"/>
      <c r="N75" s="62"/>
      <c r="O75" s="62"/>
      <c r="P75" s="62"/>
      <c r="Q75" s="62"/>
      <c r="R75" s="62"/>
      <c r="S75" s="62"/>
      <c r="T75" s="65"/>
      <c r="U75" s="62"/>
      <c r="V75" s="62"/>
    </row>
    <row r="76" spans="1:22" x14ac:dyDescent="0.35">
      <c r="A76" s="59" t="s">
        <v>143</v>
      </c>
      <c r="B76" s="59" t="s">
        <v>143</v>
      </c>
      <c r="C76" s="62">
        <v>32.058999999999997</v>
      </c>
      <c r="D76" s="62">
        <v>21.745000000000001</v>
      </c>
      <c r="E76" s="62">
        <v>36.979999999999997</v>
      </c>
      <c r="F76" s="62">
        <v>98.617000000000004</v>
      </c>
      <c r="G76" s="62">
        <v>101.47199999999999</v>
      </c>
      <c r="H76" s="62">
        <v>124.23399999999999</v>
      </c>
      <c r="I76" s="62">
        <v>161.22499999999999</v>
      </c>
      <c r="J76" s="62">
        <v>193.57599999999999</v>
      </c>
      <c r="K76" s="62">
        <v>188.63399999999999</v>
      </c>
      <c r="L76" s="62"/>
      <c r="M76" s="62"/>
      <c r="N76" s="62"/>
      <c r="O76" s="62"/>
      <c r="P76" s="62"/>
      <c r="Q76" s="62"/>
      <c r="R76" s="62"/>
      <c r="S76" s="62"/>
      <c r="T76" s="65">
        <v>239.88800000000001</v>
      </c>
      <c r="U76" s="62">
        <v>249.5</v>
      </c>
      <c r="V76" s="62">
        <v>312.58300000000003</v>
      </c>
    </row>
    <row r="77" spans="1:22" x14ac:dyDescent="0.35">
      <c r="A77" s="59" t="s">
        <v>144</v>
      </c>
      <c r="B77" s="59" t="s">
        <v>145</v>
      </c>
      <c r="C77" s="63">
        <v>73.610076000000007</v>
      </c>
      <c r="D77" s="63">
        <v>74.060451999999998</v>
      </c>
      <c r="E77" s="63">
        <v>74.757390000000001</v>
      </c>
      <c r="F77" s="63">
        <v>78.376807999999997</v>
      </c>
      <c r="G77" s="63">
        <v>75.548056000000003</v>
      </c>
      <c r="H77" s="63">
        <v>74.480796999999995</v>
      </c>
      <c r="I77" s="63">
        <v>75.447057000000001</v>
      </c>
      <c r="J77" s="63">
        <v>75.945739000000003</v>
      </c>
      <c r="K77" s="63">
        <v>75.709119000000001</v>
      </c>
      <c r="L77" s="63"/>
      <c r="M77" s="63"/>
      <c r="N77" s="63"/>
      <c r="O77" s="63"/>
      <c r="P77" s="63"/>
      <c r="Q77" s="63"/>
      <c r="R77" s="63"/>
      <c r="S77" s="63"/>
      <c r="T77" s="66">
        <v>75.505901487491499</v>
      </c>
      <c r="U77" s="63">
        <v>75.525000000000006</v>
      </c>
      <c r="V77" s="63">
        <v>75.613</v>
      </c>
    </row>
    <row r="78" spans="1:22" x14ac:dyDescent="0.35">
      <c r="A78" s="59" t="s">
        <v>146</v>
      </c>
      <c r="B78" s="59" t="s">
        <v>147</v>
      </c>
      <c r="C78" s="63">
        <v>11.275199000000001</v>
      </c>
      <c r="D78" s="63">
        <v>7.1535250000000001</v>
      </c>
      <c r="E78" s="63">
        <v>11.839926999999999</v>
      </c>
      <c r="F78" s="63">
        <v>25.474135</v>
      </c>
      <c r="G78" s="63">
        <v>21.151413000000002</v>
      </c>
      <c r="H78" s="63">
        <v>22.183019000000002</v>
      </c>
      <c r="I78" s="63">
        <v>24.420407999999998</v>
      </c>
      <c r="J78" s="63">
        <v>25.415247999999998</v>
      </c>
      <c r="K78" s="63">
        <v>22.310718000000001</v>
      </c>
      <c r="L78" s="63"/>
      <c r="M78" s="63"/>
      <c r="N78" s="63"/>
      <c r="O78" s="63"/>
      <c r="P78" s="63"/>
      <c r="Q78" s="63"/>
      <c r="R78" s="63"/>
      <c r="S78" s="63"/>
      <c r="T78" s="66">
        <v>23.589036596794099</v>
      </c>
      <c r="U78" s="63">
        <v>23.133167306112501</v>
      </c>
      <c r="V78" s="63">
        <v>24.303699245969</v>
      </c>
    </row>
    <row r="79" spans="1:22" x14ac:dyDescent="0.35">
      <c r="A79" s="59" t="s">
        <v>148</v>
      </c>
      <c r="B79" s="59" t="s">
        <v>149</v>
      </c>
      <c r="C79" s="63">
        <v>12.564185999999999</v>
      </c>
      <c r="D79" s="63">
        <v>26.313590999999999</v>
      </c>
      <c r="E79" s="63">
        <v>4.7562860000000002</v>
      </c>
      <c r="F79" s="63">
        <v>18.489315999999999</v>
      </c>
      <c r="G79" s="63">
        <v>15.412233000000001</v>
      </c>
      <c r="H79" s="63">
        <v>14.964672</v>
      </c>
      <c r="I79" s="63">
        <v>16.336333</v>
      </c>
      <c r="J79" s="63">
        <v>19.146777</v>
      </c>
      <c r="K79" s="63">
        <v>17.033989999999999</v>
      </c>
      <c r="L79" s="63"/>
      <c r="M79" s="63"/>
      <c r="N79" s="63"/>
      <c r="O79" s="63"/>
      <c r="P79" s="63"/>
      <c r="Q79" s="63"/>
      <c r="R79" s="63"/>
      <c r="S79" s="63"/>
      <c r="T79" s="66">
        <v>18.775609741707299</v>
      </c>
      <c r="U79" s="63">
        <v>18.237651339127599</v>
      </c>
      <c r="V79" s="63">
        <v>18.8624379351151</v>
      </c>
    </row>
    <row r="80" spans="1:22" x14ac:dyDescent="0.35">
      <c r="A80" s="59" t="s">
        <v>150</v>
      </c>
      <c r="B80" s="59" t="s">
        <v>151</v>
      </c>
      <c r="C80" s="63" t="s">
        <v>33</v>
      </c>
      <c r="D80" s="63" t="s">
        <v>33</v>
      </c>
      <c r="E80" s="63" t="s">
        <v>33</v>
      </c>
      <c r="F80" s="63" t="s">
        <v>33</v>
      </c>
      <c r="G80" s="63" t="s">
        <v>33</v>
      </c>
      <c r="H80" s="63" t="s">
        <v>33</v>
      </c>
      <c r="I80" s="63">
        <v>193042.69005800001</v>
      </c>
      <c r="J80" s="63">
        <v>212752.23463699999</v>
      </c>
      <c r="K80" s="63">
        <v>193253.94285699999</v>
      </c>
      <c r="L80" s="63"/>
      <c r="M80" s="63"/>
      <c r="N80" s="63"/>
      <c r="O80" s="63"/>
      <c r="P80" s="63"/>
      <c r="Q80" s="63"/>
      <c r="R80" s="63"/>
      <c r="S80" s="63"/>
      <c r="T80" s="66"/>
      <c r="U80" s="63"/>
      <c r="V80" s="63"/>
    </row>
    <row r="81" spans="1:22" x14ac:dyDescent="0.35">
      <c r="A81" s="59" t="s">
        <v>152</v>
      </c>
      <c r="B81" s="59" t="s">
        <v>153</v>
      </c>
      <c r="C81" s="63">
        <v>0</v>
      </c>
      <c r="D81" s="63">
        <v>0</v>
      </c>
      <c r="E81" s="63">
        <v>0</v>
      </c>
      <c r="F81" s="63">
        <v>0</v>
      </c>
      <c r="G81" s="63">
        <v>0</v>
      </c>
      <c r="H81" s="63">
        <v>0</v>
      </c>
      <c r="I81" s="63">
        <v>0</v>
      </c>
      <c r="J81" s="63">
        <v>0</v>
      </c>
      <c r="K81" s="63">
        <v>0</v>
      </c>
      <c r="L81" s="63"/>
      <c r="M81" s="63"/>
      <c r="N81" s="63"/>
      <c r="O81" s="63"/>
      <c r="P81" s="63"/>
      <c r="Q81" s="63"/>
      <c r="R81" s="63"/>
      <c r="S81" s="63"/>
      <c r="T81" s="66">
        <v>0</v>
      </c>
      <c r="U81" s="63">
        <v>0</v>
      </c>
      <c r="V81" s="63">
        <v>0</v>
      </c>
    </row>
    <row r="82" spans="1:22" x14ac:dyDescent="0.35">
      <c r="A82" s="59" t="s">
        <v>154</v>
      </c>
      <c r="B82" s="59" t="s">
        <v>155</v>
      </c>
      <c r="C82" s="62">
        <v>0</v>
      </c>
      <c r="D82" s="62">
        <v>0</v>
      </c>
      <c r="E82" s="62">
        <v>0</v>
      </c>
      <c r="F82" s="62">
        <v>0</v>
      </c>
      <c r="G82" s="62">
        <v>0</v>
      </c>
      <c r="H82" s="62">
        <v>0</v>
      </c>
      <c r="I82" s="62">
        <v>0</v>
      </c>
      <c r="J82" s="62">
        <v>0</v>
      </c>
      <c r="K82" s="62">
        <v>0</v>
      </c>
      <c r="L82" s="62"/>
      <c r="M82" s="62"/>
      <c r="N82" s="62"/>
      <c r="O82" s="62"/>
      <c r="P82" s="62"/>
      <c r="Q82" s="62"/>
      <c r="R82" s="62"/>
      <c r="S82" s="62"/>
      <c r="T82" s="65">
        <v>0</v>
      </c>
      <c r="U82" s="62"/>
      <c r="V82" s="62"/>
    </row>
    <row r="83" spans="1:22" x14ac:dyDescent="0.35">
      <c r="A83" s="59" t="s">
        <v>156</v>
      </c>
      <c r="B83" s="59" t="s">
        <v>157</v>
      </c>
      <c r="C83" s="62" t="s">
        <v>33</v>
      </c>
      <c r="D83" s="62" t="s">
        <v>33</v>
      </c>
      <c r="E83" s="62" t="s">
        <v>33</v>
      </c>
      <c r="F83" s="62" t="s">
        <v>33</v>
      </c>
      <c r="G83" s="62" t="s">
        <v>33</v>
      </c>
      <c r="H83" s="62" t="s">
        <v>33</v>
      </c>
      <c r="I83" s="62" t="s">
        <v>33</v>
      </c>
      <c r="J83" s="62">
        <v>0</v>
      </c>
      <c r="K83" s="62">
        <v>0</v>
      </c>
      <c r="L83" s="62"/>
      <c r="M83" s="62"/>
      <c r="N83" s="62"/>
      <c r="O83" s="62"/>
      <c r="P83" s="62"/>
      <c r="Q83" s="62"/>
      <c r="R83" s="62"/>
      <c r="S83" s="62"/>
      <c r="T83" s="65">
        <v>0</v>
      </c>
      <c r="U83" s="62"/>
      <c r="V83" s="62"/>
    </row>
    <row r="84" spans="1:22" x14ac:dyDescent="0.35">
      <c r="A84" s="59" t="s">
        <v>158</v>
      </c>
      <c r="B84" s="59" t="s">
        <v>159</v>
      </c>
      <c r="C84" s="62">
        <v>0</v>
      </c>
      <c r="D84" s="62">
        <v>0</v>
      </c>
      <c r="E84" s="62" t="s">
        <v>33</v>
      </c>
      <c r="F84" s="62">
        <v>0</v>
      </c>
      <c r="G84" s="62" t="s">
        <v>33</v>
      </c>
      <c r="H84" s="62">
        <v>0</v>
      </c>
      <c r="I84" s="62" t="s">
        <v>33</v>
      </c>
      <c r="J84" s="62" t="s">
        <v>33</v>
      </c>
      <c r="K84" s="62" t="s">
        <v>33</v>
      </c>
      <c r="L84" s="62"/>
      <c r="M84" s="62"/>
      <c r="N84" s="62"/>
      <c r="O84" s="62"/>
      <c r="P84" s="62"/>
      <c r="Q84" s="62"/>
      <c r="R84" s="62"/>
      <c r="S84" s="62"/>
      <c r="T84" s="65"/>
      <c r="U84" s="62"/>
      <c r="V84" s="62"/>
    </row>
    <row r="85" spans="1:22" x14ac:dyDescent="0.35">
      <c r="A85" s="59" t="s">
        <v>160</v>
      </c>
      <c r="B85" s="59" t="s">
        <v>161</v>
      </c>
      <c r="C85" s="62">
        <v>10.199999999999999</v>
      </c>
      <c r="D85" s="62">
        <v>10</v>
      </c>
      <c r="E85" s="62" t="s">
        <v>33</v>
      </c>
      <c r="F85" s="62">
        <v>11.4</v>
      </c>
      <c r="G85" s="62" t="s">
        <v>33</v>
      </c>
      <c r="H85" s="62" t="s">
        <v>33</v>
      </c>
      <c r="I85" s="62" t="s">
        <v>33</v>
      </c>
      <c r="J85" s="62">
        <v>14.8</v>
      </c>
      <c r="K85" s="62" t="s">
        <v>33</v>
      </c>
      <c r="L85" s="62"/>
      <c r="M85" s="62"/>
      <c r="N85" s="62"/>
      <c r="O85" s="62"/>
      <c r="P85" s="62"/>
      <c r="Q85" s="62"/>
      <c r="R85" s="62"/>
      <c r="S85" s="62"/>
      <c r="T85" s="65"/>
      <c r="U85" s="62"/>
      <c r="V85" s="62"/>
    </row>
    <row r="86" spans="1:22" x14ac:dyDescent="0.35">
      <c r="A86" s="59" t="s">
        <v>162</v>
      </c>
      <c r="B86" s="59" t="s">
        <v>163</v>
      </c>
      <c r="C86" s="62">
        <v>3.4</v>
      </c>
      <c r="D86" s="62">
        <v>3.8</v>
      </c>
      <c r="E86" s="62">
        <v>3.8</v>
      </c>
      <c r="F86" s="62">
        <v>4.7</v>
      </c>
      <c r="G86" s="62">
        <v>6.1</v>
      </c>
      <c r="H86" s="62">
        <v>6.9</v>
      </c>
      <c r="I86" s="62">
        <v>7.3</v>
      </c>
      <c r="J86" s="62">
        <v>7.6</v>
      </c>
      <c r="K86" s="62">
        <v>8.1999999999999993</v>
      </c>
      <c r="L86" s="62"/>
      <c r="M86" s="62"/>
      <c r="N86" s="62"/>
      <c r="O86" s="62"/>
      <c r="P86" s="62"/>
      <c r="Q86" s="62"/>
      <c r="R86" s="62"/>
      <c r="S86" s="62"/>
      <c r="T86" s="65"/>
      <c r="U86" s="62"/>
      <c r="V86" s="62"/>
    </row>
    <row r="87" spans="1:22" x14ac:dyDescent="0.35">
      <c r="A87" s="56" t="s">
        <v>164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topLeftCell="A55" workbookViewId="0">
      <selection activeCell="C8" sqref="C8"/>
    </sheetView>
  </sheetViews>
  <sheetFormatPr defaultRowHeight="14.5" x14ac:dyDescent="0.35"/>
  <cols>
    <col min="1" max="1" width="35.1796875" customWidth="1"/>
    <col min="2" max="2" width="0" hidden="1" customWidth="1"/>
    <col min="3" max="11" width="11.81640625" customWidth="1"/>
  </cols>
  <sheetData>
    <row r="1" spans="1:11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" x14ac:dyDescent="0.35">
      <c r="A2" s="57" t="s">
        <v>320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x14ac:dyDescent="0.35">
      <c r="A4" s="43" t="s">
        <v>4</v>
      </c>
      <c r="B4" s="43"/>
      <c r="C4" s="44" t="s">
        <v>5</v>
      </c>
      <c r="D4" s="44" t="s">
        <v>6</v>
      </c>
      <c r="E4" s="44" t="s">
        <v>7</v>
      </c>
      <c r="F4" s="44" t="s">
        <v>8</v>
      </c>
      <c r="G4" s="44" t="s">
        <v>9</v>
      </c>
      <c r="H4" s="44" t="s">
        <v>10</v>
      </c>
      <c r="I4" s="44" t="s">
        <v>11</v>
      </c>
      <c r="J4" s="44" t="s">
        <v>12</v>
      </c>
      <c r="K4" s="44" t="s">
        <v>13</v>
      </c>
    </row>
    <row r="5" spans="1:11" x14ac:dyDescent="0.35">
      <c r="A5" s="45" t="s">
        <v>17</v>
      </c>
      <c r="B5" s="45"/>
      <c r="C5" s="46" t="s">
        <v>18</v>
      </c>
      <c r="D5" s="46" t="s">
        <v>19</v>
      </c>
      <c r="E5" s="46" t="s">
        <v>20</v>
      </c>
      <c r="F5" s="46" t="s">
        <v>21</v>
      </c>
      <c r="G5" s="46" t="s">
        <v>22</v>
      </c>
      <c r="H5" s="46" t="s">
        <v>23</v>
      </c>
      <c r="I5" s="46" t="s">
        <v>24</v>
      </c>
      <c r="J5" s="46" t="s">
        <v>25</v>
      </c>
      <c r="K5" s="46" t="s">
        <v>26</v>
      </c>
    </row>
    <row r="6" spans="1:11" x14ac:dyDescent="0.35">
      <c r="A6" s="48" t="s">
        <v>263</v>
      </c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x14ac:dyDescent="0.35">
      <c r="A7" s="49" t="s">
        <v>319</v>
      </c>
      <c r="B7" s="49" t="s">
        <v>318</v>
      </c>
      <c r="C7" s="62">
        <v>127.89</v>
      </c>
      <c r="D7" s="62">
        <v>110.166</v>
      </c>
      <c r="E7" s="62">
        <v>186.465</v>
      </c>
      <c r="F7" s="62">
        <v>303.279</v>
      </c>
      <c r="G7" s="62">
        <v>248.07</v>
      </c>
      <c r="H7" s="62">
        <v>334.87099999999998</v>
      </c>
      <c r="I7" s="62">
        <v>369.99299999999999</v>
      </c>
      <c r="J7" s="62">
        <v>454.65800000000002</v>
      </c>
      <c r="K7" s="62">
        <v>527.29499999999996</v>
      </c>
    </row>
    <row r="8" spans="1:11" x14ac:dyDescent="0.35">
      <c r="A8" s="49" t="s">
        <v>317</v>
      </c>
      <c r="B8" s="49" t="s">
        <v>316</v>
      </c>
      <c r="C8" s="62">
        <v>89.119</v>
      </c>
      <c r="D8" s="62">
        <v>87.1</v>
      </c>
      <c r="E8" s="62">
        <v>166.48699999999999</v>
      </c>
      <c r="F8" s="62">
        <v>294.66399999999999</v>
      </c>
      <c r="G8" s="62">
        <v>240.67500000000001</v>
      </c>
      <c r="H8" s="62">
        <v>306.38600000000002</v>
      </c>
      <c r="I8" s="62">
        <v>242.953</v>
      </c>
      <c r="J8" s="62">
        <v>199.87100000000001</v>
      </c>
      <c r="K8" s="62">
        <v>167.714</v>
      </c>
    </row>
    <row r="9" spans="1:11" x14ac:dyDescent="0.35">
      <c r="A9" s="49" t="s">
        <v>315</v>
      </c>
      <c r="B9" s="49" t="s">
        <v>314</v>
      </c>
      <c r="C9" s="62">
        <v>38.771000000000001</v>
      </c>
      <c r="D9" s="62">
        <v>23.065999999999999</v>
      </c>
      <c r="E9" s="62">
        <v>19.978000000000002</v>
      </c>
      <c r="F9" s="62">
        <v>8.6150000000000002</v>
      </c>
      <c r="G9" s="62">
        <v>7.3949999999999996</v>
      </c>
      <c r="H9" s="62">
        <v>28.484999999999999</v>
      </c>
      <c r="I9" s="62">
        <v>127.04</v>
      </c>
      <c r="J9" s="62">
        <v>254.78700000000001</v>
      </c>
      <c r="K9" s="62">
        <v>359.58100000000002</v>
      </c>
    </row>
    <row r="10" spans="1:11" x14ac:dyDescent="0.35">
      <c r="A10" s="49" t="s">
        <v>313</v>
      </c>
      <c r="B10" s="49" t="s">
        <v>312</v>
      </c>
      <c r="C10" s="62">
        <v>44.85</v>
      </c>
      <c r="D10" s="62">
        <v>52.362000000000002</v>
      </c>
      <c r="E10" s="62">
        <v>54.536999999999999</v>
      </c>
      <c r="F10" s="62">
        <v>65.430000000000007</v>
      </c>
      <c r="G10" s="62">
        <v>91.537000000000006</v>
      </c>
      <c r="H10" s="62">
        <v>98.992000000000004</v>
      </c>
      <c r="I10" s="62">
        <v>113.25</v>
      </c>
      <c r="J10" s="62">
        <v>129.751</v>
      </c>
      <c r="K10" s="62">
        <v>158.55000000000001</v>
      </c>
    </row>
    <row r="11" spans="1:11" x14ac:dyDescent="0.35">
      <c r="A11" s="49" t="s">
        <v>311</v>
      </c>
      <c r="B11" s="49" t="s">
        <v>310</v>
      </c>
      <c r="C11" s="62">
        <v>44.85</v>
      </c>
      <c r="D11" s="62">
        <v>52.362000000000002</v>
      </c>
      <c r="E11" s="62">
        <v>54.536999999999999</v>
      </c>
      <c r="F11" s="62">
        <v>65.430000000000007</v>
      </c>
      <c r="G11" s="62">
        <v>91.537000000000006</v>
      </c>
      <c r="H11" s="62">
        <v>98.992000000000004</v>
      </c>
      <c r="I11" s="62">
        <v>113.25</v>
      </c>
      <c r="J11" s="62">
        <v>129.751</v>
      </c>
      <c r="K11" s="62">
        <v>158.55000000000001</v>
      </c>
    </row>
    <row r="12" spans="1:11" x14ac:dyDescent="0.35">
      <c r="A12" s="49" t="s">
        <v>309</v>
      </c>
      <c r="B12" s="49" t="s">
        <v>308</v>
      </c>
      <c r="C12" s="62" t="s">
        <v>33</v>
      </c>
      <c r="D12" s="62" t="s">
        <v>33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</row>
    <row r="13" spans="1:11" x14ac:dyDescent="0.35">
      <c r="A13" s="49" t="s">
        <v>307</v>
      </c>
      <c r="B13" s="49" t="s">
        <v>306</v>
      </c>
      <c r="C13" s="62">
        <v>2.91</v>
      </c>
      <c r="D13" s="62">
        <v>1.9650000000000001</v>
      </c>
      <c r="E13" s="62">
        <v>2.0459999999999998</v>
      </c>
      <c r="F13" s="62">
        <v>2.544</v>
      </c>
      <c r="G13" s="62">
        <v>9.4019999999999992</v>
      </c>
      <c r="H13" s="62">
        <v>15.122</v>
      </c>
      <c r="I13" s="62">
        <v>13.968</v>
      </c>
      <c r="J13" s="62">
        <v>15.928000000000001</v>
      </c>
      <c r="K13" s="62">
        <v>19.465</v>
      </c>
    </row>
    <row r="14" spans="1:11" x14ac:dyDescent="0.35">
      <c r="A14" s="49" t="s">
        <v>305</v>
      </c>
      <c r="B14" s="49" t="s">
        <v>304</v>
      </c>
      <c r="C14" s="62">
        <v>1.9830000000000001</v>
      </c>
      <c r="D14" s="62">
        <v>1.0660000000000001</v>
      </c>
      <c r="E14" s="62">
        <v>1.079</v>
      </c>
      <c r="F14" s="62">
        <v>1.272</v>
      </c>
      <c r="G14" s="62">
        <v>4.5419999999999998</v>
      </c>
      <c r="H14" s="62">
        <v>7.6289999999999996</v>
      </c>
      <c r="I14" s="62">
        <v>5.1719999999999997</v>
      </c>
      <c r="J14" s="62">
        <v>8.1430000000000007</v>
      </c>
      <c r="K14" s="62">
        <v>9.9499999999999993</v>
      </c>
    </row>
    <row r="15" spans="1:11" x14ac:dyDescent="0.35">
      <c r="A15" s="49" t="s">
        <v>303</v>
      </c>
      <c r="B15" s="49" t="s">
        <v>302</v>
      </c>
      <c r="C15" s="62">
        <v>0.63100000000000001</v>
      </c>
      <c r="D15" s="62">
        <v>0.41599999999999998</v>
      </c>
      <c r="E15" s="62">
        <v>0.46</v>
      </c>
      <c r="F15" s="62">
        <v>1.03</v>
      </c>
      <c r="G15" s="62">
        <v>2.4860000000000002</v>
      </c>
      <c r="H15" s="62">
        <v>3.8889999999999998</v>
      </c>
      <c r="I15" s="62">
        <v>4.2409999999999997</v>
      </c>
      <c r="J15" s="62">
        <v>2.97</v>
      </c>
      <c r="K15" s="62">
        <v>7.0670000000000002</v>
      </c>
    </row>
    <row r="16" spans="1:11" x14ac:dyDescent="0.35">
      <c r="A16" s="49" t="s">
        <v>301</v>
      </c>
      <c r="B16" s="49" t="s">
        <v>300</v>
      </c>
      <c r="C16" s="62">
        <v>0.29599999999999999</v>
      </c>
      <c r="D16" s="62">
        <v>0.48299999999999998</v>
      </c>
      <c r="E16" s="62">
        <v>0.50700000000000001</v>
      </c>
      <c r="F16" s="62">
        <v>0.24199999999999999</v>
      </c>
      <c r="G16" s="62">
        <v>2.3740000000000001</v>
      </c>
      <c r="H16" s="62">
        <v>3.6040000000000001</v>
      </c>
      <c r="I16" s="62">
        <v>4.5549999999999997</v>
      </c>
      <c r="J16" s="62">
        <v>4.8150000000000004</v>
      </c>
      <c r="K16" s="62">
        <v>2.448</v>
      </c>
    </row>
    <row r="17" spans="1:11" x14ac:dyDescent="0.35">
      <c r="A17" s="49" t="s">
        <v>299</v>
      </c>
      <c r="B17" s="49" t="s">
        <v>298</v>
      </c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</row>
    <row r="18" spans="1:11" x14ac:dyDescent="0.35">
      <c r="A18" s="49" t="s">
        <v>297</v>
      </c>
      <c r="B18" s="49" t="s">
        <v>296</v>
      </c>
      <c r="C18" s="62">
        <v>8.8670000000000009</v>
      </c>
      <c r="D18" s="62">
        <v>13.414</v>
      </c>
      <c r="E18" s="62">
        <v>18.251000000000001</v>
      </c>
      <c r="F18" s="62">
        <v>17.358000000000001</v>
      </c>
      <c r="G18" s="62">
        <v>35.807000000000002</v>
      </c>
      <c r="H18" s="62">
        <v>36.808</v>
      </c>
      <c r="I18" s="62">
        <v>47.465000000000003</v>
      </c>
      <c r="J18" s="62">
        <v>56.823</v>
      </c>
      <c r="K18" s="62">
        <v>26.7</v>
      </c>
    </row>
    <row r="19" spans="1:11" x14ac:dyDescent="0.35">
      <c r="A19" s="49" t="s">
        <v>269</v>
      </c>
      <c r="B19" s="49" t="s">
        <v>295</v>
      </c>
      <c r="C19" s="62" t="s">
        <v>33</v>
      </c>
      <c r="D19" s="62" t="s">
        <v>33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</row>
    <row r="20" spans="1:11" x14ac:dyDescent="0.35">
      <c r="A20" s="49" t="s">
        <v>271</v>
      </c>
      <c r="B20" s="49" t="s">
        <v>294</v>
      </c>
      <c r="C20" s="62" t="s">
        <v>33</v>
      </c>
      <c r="D20" s="62" t="s">
        <v>33</v>
      </c>
      <c r="E20" s="62" t="s">
        <v>33</v>
      </c>
      <c r="F20" s="62" t="s">
        <v>33</v>
      </c>
      <c r="G20" s="62" t="s">
        <v>33</v>
      </c>
      <c r="H20" s="62" t="s">
        <v>33</v>
      </c>
      <c r="I20" s="62" t="s">
        <v>33</v>
      </c>
      <c r="J20" s="62">
        <v>37.052999999999997</v>
      </c>
      <c r="K20" s="62">
        <v>0</v>
      </c>
    </row>
    <row r="21" spans="1:11" x14ac:dyDescent="0.35">
      <c r="A21" s="49" t="s">
        <v>293</v>
      </c>
      <c r="B21" s="49" t="s">
        <v>292</v>
      </c>
      <c r="C21" s="62" t="s">
        <v>33</v>
      </c>
      <c r="D21" s="62" t="s">
        <v>33</v>
      </c>
      <c r="E21" s="62">
        <v>18.251000000000001</v>
      </c>
      <c r="F21" s="62">
        <v>17.358000000000001</v>
      </c>
      <c r="G21" s="62">
        <v>35.807000000000002</v>
      </c>
      <c r="H21" s="62">
        <v>36.808</v>
      </c>
      <c r="I21" s="62">
        <v>47.465000000000003</v>
      </c>
      <c r="J21" s="62">
        <v>19.77</v>
      </c>
      <c r="K21" s="62">
        <v>26.7</v>
      </c>
    </row>
    <row r="22" spans="1:11" x14ac:dyDescent="0.35">
      <c r="A22" s="48" t="s">
        <v>291</v>
      </c>
      <c r="B22" s="48" t="s">
        <v>290</v>
      </c>
      <c r="C22" s="68">
        <v>184.517</v>
      </c>
      <c r="D22" s="68">
        <v>177.90700000000001</v>
      </c>
      <c r="E22" s="68">
        <v>261.29899999999998</v>
      </c>
      <c r="F22" s="68">
        <v>388.61099999999999</v>
      </c>
      <c r="G22" s="68">
        <v>384.81599999999997</v>
      </c>
      <c r="H22" s="68">
        <v>485.79300000000001</v>
      </c>
      <c r="I22" s="68">
        <v>544.67600000000004</v>
      </c>
      <c r="J22" s="68">
        <v>657.16</v>
      </c>
      <c r="K22" s="68">
        <v>732.01</v>
      </c>
    </row>
    <row r="23" spans="1:11" x14ac:dyDescent="0.35">
      <c r="A23" s="49" t="s">
        <v>289</v>
      </c>
      <c r="B23" s="49" t="s">
        <v>288</v>
      </c>
      <c r="C23" s="62">
        <v>25.32</v>
      </c>
      <c r="D23" s="62">
        <v>26.978999999999999</v>
      </c>
      <c r="E23" s="62">
        <v>24.971</v>
      </c>
      <c r="F23" s="62">
        <v>30.684000000000001</v>
      </c>
      <c r="G23" s="62">
        <v>53.965000000000003</v>
      </c>
      <c r="H23" s="62">
        <v>79.191000000000003</v>
      </c>
      <c r="I23" s="62">
        <v>75.742999999999995</v>
      </c>
      <c r="J23" s="62">
        <v>90.125</v>
      </c>
      <c r="K23" s="62">
        <v>136.47300000000001</v>
      </c>
    </row>
    <row r="24" spans="1:11" x14ac:dyDescent="0.35">
      <c r="A24" s="49" t="s">
        <v>287</v>
      </c>
      <c r="B24" s="49" t="s">
        <v>286</v>
      </c>
      <c r="C24" s="62">
        <v>79.078999999999994</v>
      </c>
      <c r="D24" s="62">
        <v>88.341999999999999</v>
      </c>
      <c r="E24" s="62">
        <v>94.977000000000004</v>
      </c>
      <c r="F24" s="62">
        <v>98.457999999999998</v>
      </c>
      <c r="G24" s="62">
        <v>129.43199999999999</v>
      </c>
      <c r="H24" s="62">
        <v>165.126</v>
      </c>
      <c r="I24" s="62">
        <v>181.249</v>
      </c>
      <c r="J24" s="62">
        <v>197.92699999999999</v>
      </c>
      <c r="K24" s="62">
        <v>254.51</v>
      </c>
    </row>
    <row r="25" spans="1:11" x14ac:dyDescent="0.35">
      <c r="A25" s="49" t="s">
        <v>285</v>
      </c>
      <c r="B25" s="49" t="s">
        <v>284</v>
      </c>
      <c r="C25" s="62">
        <v>53.759</v>
      </c>
      <c r="D25" s="62">
        <v>61.363</v>
      </c>
      <c r="E25" s="62">
        <v>70.006</v>
      </c>
      <c r="F25" s="62">
        <v>67.774000000000001</v>
      </c>
      <c r="G25" s="62">
        <v>75.466999999999999</v>
      </c>
      <c r="H25" s="62">
        <v>85.935000000000002</v>
      </c>
      <c r="I25" s="62">
        <v>105.506</v>
      </c>
      <c r="J25" s="62">
        <v>107.80200000000001</v>
      </c>
      <c r="K25" s="62">
        <v>118.03700000000001</v>
      </c>
    </row>
    <row r="26" spans="1:11" x14ac:dyDescent="0.35">
      <c r="A26" s="49" t="s">
        <v>283</v>
      </c>
      <c r="B26" s="49" t="s">
        <v>282</v>
      </c>
      <c r="C26" s="62">
        <v>0</v>
      </c>
      <c r="D26" s="62">
        <v>0</v>
      </c>
      <c r="E26" s="62">
        <v>0</v>
      </c>
      <c r="F26" s="62">
        <v>9.0890000000000004</v>
      </c>
      <c r="G26" s="62">
        <v>0</v>
      </c>
      <c r="H26" s="62">
        <v>21.251999999999999</v>
      </c>
      <c r="I26" s="62">
        <v>101.97799999999999</v>
      </c>
      <c r="J26" s="62">
        <v>147.892</v>
      </c>
      <c r="K26" s="62">
        <v>151.37</v>
      </c>
    </row>
    <row r="27" spans="1:11" x14ac:dyDescent="0.35">
      <c r="A27" s="49" t="s">
        <v>281</v>
      </c>
      <c r="B27" s="49" t="s">
        <v>280</v>
      </c>
      <c r="C27" s="62" t="s">
        <v>33</v>
      </c>
      <c r="D27" s="62" t="s">
        <v>33</v>
      </c>
      <c r="E27" s="62" t="s">
        <v>33</v>
      </c>
      <c r="F27" s="62">
        <v>9.0890000000000004</v>
      </c>
      <c r="G27" s="62" t="s">
        <v>33</v>
      </c>
      <c r="H27" s="62">
        <v>21.251999999999999</v>
      </c>
      <c r="I27" s="62">
        <v>101.97799999999999</v>
      </c>
      <c r="J27" s="62">
        <v>147.892</v>
      </c>
      <c r="K27" s="62">
        <v>151.37</v>
      </c>
    </row>
    <row r="28" spans="1:11" x14ac:dyDescent="0.35">
      <c r="A28" s="49" t="s">
        <v>279</v>
      </c>
      <c r="B28" s="49" t="s">
        <v>278</v>
      </c>
      <c r="C28" s="62">
        <v>12.923999999999999</v>
      </c>
      <c r="D28" s="62">
        <v>74.454999999999998</v>
      </c>
      <c r="E28" s="62">
        <v>68.97</v>
      </c>
      <c r="F28" s="62">
        <v>48.558999999999997</v>
      </c>
      <c r="G28" s="62">
        <v>210.483</v>
      </c>
      <c r="H28" s="62">
        <v>170.07599999999999</v>
      </c>
      <c r="I28" s="62">
        <v>109.75</v>
      </c>
      <c r="J28" s="62">
        <v>92.82</v>
      </c>
      <c r="K28" s="62">
        <v>138.78</v>
      </c>
    </row>
    <row r="29" spans="1:11" x14ac:dyDescent="0.35">
      <c r="A29" s="49" t="s">
        <v>277</v>
      </c>
      <c r="B29" s="49" t="s">
        <v>276</v>
      </c>
      <c r="C29" s="62">
        <v>11.093</v>
      </c>
      <c r="D29" s="62">
        <v>8.266</v>
      </c>
      <c r="E29" s="62">
        <v>5.4660000000000002</v>
      </c>
      <c r="F29" s="62">
        <v>2.6659999999999999</v>
      </c>
      <c r="G29" s="62">
        <v>185.405</v>
      </c>
      <c r="H29" s="62">
        <v>145.01300000000001</v>
      </c>
      <c r="I29" s="62">
        <v>85.361999999999995</v>
      </c>
      <c r="J29" s="62">
        <v>82.055999999999997</v>
      </c>
      <c r="K29" s="62">
        <v>79.162000000000006</v>
      </c>
    </row>
    <row r="30" spans="1:11" x14ac:dyDescent="0.35">
      <c r="A30" s="47" t="s">
        <v>275</v>
      </c>
      <c r="B30" s="47" t="s">
        <v>274</v>
      </c>
      <c r="C30" s="73">
        <v>0.47799999999999998</v>
      </c>
      <c r="D30" s="73">
        <v>0.47799999999999998</v>
      </c>
      <c r="E30" s="73">
        <v>0.47799999999999998</v>
      </c>
      <c r="F30" s="73">
        <v>0.47799999999999998</v>
      </c>
      <c r="G30" s="73">
        <v>135.38300000000001</v>
      </c>
      <c r="H30" s="73">
        <v>99.236000000000004</v>
      </c>
      <c r="I30" s="73">
        <v>61.622999999999998</v>
      </c>
      <c r="J30" s="73">
        <v>61.369</v>
      </c>
      <c r="K30" s="73">
        <v>61.073999999999998</v>
      </c>
    </row>
    <row r="31" spans="1:11" x14ac:dyDescent="0.35">
      <c r="A31" s="47" t="s">
        <v>273</v>
      </c>
      <c r="B31" s="47" t="s">
        <v>272</v>
      </c>
      <c r="C31" s="73">
        <v>10.615</v>
      </c>
      <c r="D31" s="73">
        <v>7.7880000000000003</v>
      </c>
      <c r="E31" s="73">
        <v>4.9880000000000004</v>
      </c>
      <c r="F31" s="73">
        <v>2.1880000000000002</v>
      </c>
      <c r="G31" s="73">
        <v>50.021999999999998</v>
      </c>
      <c r="H31" s="73">
        <v>45.777000000000001</v>
      </c>
      <c r="I31" s="73">
        <v>23.739000000000001</v>
      </c>
      <c r="J31" s="73">
        <v>20.687000000000001</v>
      </c>
      <c r="K31" s="73">
        <v>18.088000000000001</v>
      </c>
    </row>
    <row r="32" spans="1:11" x14ac:dyDescent="0.35">
      <c r="A32" s="49" t="s">
        <v>271</v>
      </c>
      <c r="B32" s="49" t="s">
        <v>270</v>
      </c>
      <c r="C32" s="62" t="s">
        <v>33</v>
      </c>
      <c r="D32" s="62" t="s">
        <v>33</v>
      </c>
      <c r="E32" s="62">
        <v>61.534999999999997</v>
      </c>
      <c r="F32" s="62">
        <v>42.439</v>
      </c>
      <c r="G32" s="62">
        <v>22.337</v>
      </c>
      <c r="H32" s="62">
        <v>21.609000000000002</v>
      </c>
      <c r="I32" s="62">
        <v>15.766</v>
      </c>
      <c r="J32" s="62">
        <v>3.0990000000000002</v>
      </c>
      <c r="K32" s="62">
        <v>51.415999999999997</v>
      </c>
    </row>
    <row r="33" spans="1:11" x14ac:dyDescent="0.35">
      <c r="A33" s="49" t="s">
        <v>269</v>
      </c>
      <c r="B33" s="49" t="s">
        <v>268</v>
      </c>
      <c r="C33" s="62" t="s">
        <v>33</v>
      </c>
      <c r="D33" s="62" t="s">
        <v>33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</row>
    <row r="34" spans="1:11" x14ac:dyDescent="0.35">
      <c r="A34" s="49" t="s">
        <v>267</v>
      </c>
      <c r="B34" s="49" t="s">
        <v>266</v>
      </c>
      <c r="C34" s="62">
        <v>1.831</v>
      </c>
      <c r="D34" s="62">
        <v>66.188999999999993</v>
      </c>
      <c r="E34" s="62">
        <v>1.9690000000000001</v>
      </c>
      <c r="F34" s="62">
        <v>3.4540000000000002</v>
      </c>
      <c r="G34" s="62">
        <v>2.7410000000000001</v>
      </c>
      <c r="H34" s="62">
        <v>3.4540000000000002</v>
      </c>
      <c r="I34" s="62">
        <v>8.6219999999999999</v>
      </c>
      <c r="J34" s="62">
        <v>7.665</v>
      </c>
      <c r="K34" s="62">
        <v>8.202</v>
      </c>
    </row>
    <row r="35" spans="1:11" x14ac:dyDescent="0.35">
      <c r="A35" s="48" t="s">
        <v>265</v>
      </c>
      <c r="B35" s="48" t="s">
        <v>264</v>
      </c>
      <c r="C35" s="68">
        <v>38.244</v>
      </c>
      <c r="D35" s="68">
        <v>101.434</v>
      </c>
      <c r="E35" s="68">
        <v>93.941000000000003</v>
      </c>
      <c r="F35" s="68">
        <v>88.331999999999994</v>
      </c>
      <c r="G35" s="68">
        <v>264.44799999999998</v>
      </c>
      <c r="H35" s="68">
        <v>270.51900000000001</v>
      </c>
      <c r="I35" s="68">
        <v>287.471</v>
      </c>
      <c r="J35" s="68">
        <v>330.83699999999999</v>
      </c>
      <c r="K35" s="68">
        <v>426.62299999999999</v>
      </c>
    </row>
    <row r="36" spans="1:11" x14ac:dyDescent="0.35">
      <c r="A36" s="48" t="s">
        <v>263</v>
      </c>
      <c r="B36" s="48" t="s">
        <v>262</v>
      </c>
      <c r="C36" s="68">
        <v>222.761</v>
      </c>
      <c r="D36" s="68">
        <v>279.34100000000001</v>
      </c>
      <c r="E36" s="68">
        <v>355.24</v>
      </c>
      <c r="F36" s="68">
        <v>476.94299999999998</v>
      </c>
      <c r="G36" s="68">
        <v>649.26400000000001</v>
      </c>
      <c r="H36" s="68">
        <v>756.31200000000001</v>
      </c>
      <c r="I36" s="68">
        <v>832.14700000000005</v>
      </c>
      <c r="J36" s="68">
        <v>987.99699999999996</v>
      </c>
      <c r="K36" s="68">
        <v>1158.633</v>
      </c>
    </row>
    <row r="37" spans="1:11" x14ac:dyDescent="0.35">
      <c r="A37" s="48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x14ac:dyDescent="0.35">
      <c r="A38" s="48" t="s">
        <v>261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</row>
    <row r="39" spans="1:11" x14ac:dyDescent="0.35">
      <c r="A39" s="49" t="s">
        <v>260</v>
      </c>
      <c r="B39" s="49" t="s">
        <v>259</v>
      </c>
      <c r="C39" s="62">
        <v>9.2219999999999995</v>
      </c>
      <c r="D39" s="62">
        <v>5.58</v>
      </c>
      <c r="E39" s="62">
        <v>48.944000000000003</v>
      </c>
      <c r="F39" s="62">
        <v>59.125999999999998</v>
      </c>
      <c r="G39" s="62">
        <v>95.864999999999995</v>
      </c>
      <c r="H39" s="62">
        <v>93.796000000000006</v>
      </c>
      <c r="I39" s="62">
        <v>98.063000000000002</v>
      </c>
      <c r="J39" s="62">
        <v>111.127</v>
      </c>
      <c r="K39" s="62">
        <v>142.119</v>
      </c>
    </row>
    <row r="40" spans="1:11" x14ac:dyDescent="0.35">
      <c r="A40" s="49" t="s">
        <v>258</v>
      </c>
      <c r="B40" s="49" t="s">
        <v>257</v>
      </c>
      <c r="C40" s="62">
        <v>9.2219999999999995</v>
      </c>
      <c r="D40" s="62">
        <v>5.58</v>
      </c>
      <c r="E40" s="62">
        <v>6.1219999999999999</v>
      </c>
      <c r="F40" s="62">
        <v>7.7679999999999998</v>
      </c>
      <c r="G40" s="62">
        <v>19.265000000000001</v>
      </c>
      <c r="H40" s="62">
        <v>19.548999999999999</v>
      </c>
      <c r="I40" s="62">
        <v>17.718</v>
      </c>
      <c r="J40" s="62">
        <v>23.247</v>
      </c>
      <c r="K40" s="62">
        <v>34.353999999999999</v>
      </c>
    </row>
    <row r="41" spans="1:11" x14ac:dyDescent="0.35">
      <c r="A41" s="49" t="s">
        <v>256</v>
      </c>
      <c r="B41" s="49" t="s">
        <v>255</v>
      </c>
      <c r="C41" s="62" t="s">
        <v>33</v>
      </c>
      <c r="D41" s="62" t="s">
        <v>33</v>
      </c>
      <c r="E41" s="62">
        <v>2.92</v>
      </c>
      <c r="F41" s="62">
        <v>1.9359999999999999</v>
      </c>
      <c r="G41" s="62">
        <v>0.42599999999999999</v>
      </c>
      <c r="H41" s="62">
        <v>0</v>
      </c>
      <c r="I41" s="62">
        <v>0</v>
      </c>
      <c r="J41" s="62">
        <v>0</v>
      </c>
      <c r="K41" s="62">
        <v>2.6459999999999999</v>
      </c>
    </row>
    <row r="42" spans="1:11" x14ac:dyDescent="0.35">
      <c r="A42" s="49" t="s">
        <v>254</v>
      </c>
      <c r="B42" s="49" t="s">
        <v>253</v>
      </c>
      <c r="C42" s="62" t="s">
        <v>33</v>
      </c>
      <c r="D42" s="62" t="s">
        <v>33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</row>
    <row r="43" spans="1:11" x14ac:dyDescent="0.35">
      <c r="A43" s="49" t="s">
        <v>252</v>
      </c>
      <c r="B43" s="49" t="s">
        <v>251</v>
      </c>
      <c r="C43" s="62" t="s">
        <v>33</v>
      </c>
      <c r="D43" s="62" t="s">
        <v>33</v>
      </c>
      <c r="E43" s="62">
        <v>39.902000000000001</v>
      </c>
      <c r="F43" s="62">
        <v>49.421999999999997</v>
      </c>
      <c r="G43" s="62">
        <v>76.174000000000007</v>
      </c>
      <c r="H43" s="62">
        <v>74.247</v>
      </c>
      <c r="I43" s="62">
        <v>80.344999999999999</v>
      </c>
      <c r="J43" s="62">
        <v>87.88</v>
      </c>
      <c r="K43" s="62">
        <v>105.119</v>
      </c>
    </row>
    <row r="44" spans="1:11" x14ac:dyDescent="0.35">
      <c r="A44" s="49" t="s">
        <v>250</v>
      </c>
      <c r="B44" s="49" t="s">
        <v>249</v>
      </c>
      <c r="C44" s="6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</row>
    <row r="45" spans="1:11" x14ac:dyDescent="0.35">
      <c r="A45" s="49" t="s">
        <v>248</v>
      </c>
      <c r="B45" s="49" t="s">
        <v>247</v>
      </c>
      <c r="C45" s="62">
        <v>0</v>
      </c>
      <c r="D45" s="62">
        <v>0</v>
      </c>
      <c r="E45" s="62">
        <v>0</v>
      </c>
      <c r="F45" s="62">
        <v>0</v>
      </c>
      <c r="G45" s="62">
        <v>0</v>
      </c>
      <c r="H45" s="62">
        <v>0</v>
      </c>
      <c r="I45" s="62">
        <v>0</v>
      </c>
      <c r="J45" s="62">
        <v>0</v>
      </c>
      <c r="K45" s="62">
        <v>0</v>
      </c>
    </row>
    <row r="46" spans="1:11" x14ac:dyDescent="0.35">
      <c r="A46" s="49" t="s">
        <v>246</v>
      </c>
      <c r="B46" s="49" t="s">
        <v>245</v>
      </c>
      <c r="C46" s="6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</row>
    <row r="47" spans="1:11" x14ac:dyDescent="0.35">
      <c r="A47" s="49" t="s">
        <v>244</v>
      </c>
      <c r="B47" s="49" t="s">
        <v>243</v>
      </c>
      <c r="C47" s="62">
        <v>52.237000000000002</v>
      </c>
      <c r="D47" s="62">
        <v>54.991999999999997</v>
      </c>
      <c r="E47" s="62">
        <v>32.298999999999999</v>
      </c>
      <c r="F47" s="62">
        <v>33.847999999999999</v>
      </c>
      <c r="G47" s="62">
        <v>52.252000000000002</v>
      </c>
      <c r="H47" s="62">
        <v>61.975000000000001</v>
      </c>
      <c r="I47" s="62">
        <v>77.275000000000006</v>
      </c>
      <c r="J47" s="62">
        <v>90.683999999999997</v>
      </c>
      <c r="K47" s="62">
        <v>129.553</v>
      </c>
    </row>
    <row r="48" spans="1:11" x14ac:dyDescent="0.35">
      <c r="A48" s="49" t="s">
        <v>220</v>
      </c>
      <c r="B48" s="49" t="s">
        <v>242</v>
      </c>
      <c r="C48" s="62" t="s">
        <v>33</v>
      </c>
      <c r="D48" s="62" t="s">
        <v>33</v>
      </c>
      <c r="E48" s="62">
        <v>32.298999999999999</v>
      </c>
      <c r="F48" s="62">
        <v>33.847999999999999</v>
      </c>
      <c r="G48" s="62">
        <v>52.252000000000002</v>
      </c>
      <c r="H48" s="62">
        <v>61.975000000000001</v>
      </c>
      <c r="I48" s="62">
        <v>77.275000000000006</v>
      </c>
      <c r="J48" s="62">
        <v>90.683999999999997</v>
      </c>
      <c r="K48" s="62">
        <v>129.553</v>
      </c>
    </row>
    <row r="49" spans="1:11" x14ac:dyDescent="0.35">
      <c r="A49" s="49" t="s">
        <v>218</v>
      </c>
      <c r="B49" s="49" t="s">
        <v>241</v>
      </c>
      <c r="C49" s="62" t="s">
        <v>33</v>
      </c>
      <c r="D49" s="62" t="s">
        <v>33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</row>
    <row r="50" spans="1:11" x14ac:dyDescent="0.35">
      <c r="A50" s="49" t="s">
        <v>240</v>
      </c>
      <c r="B50" s="49" t="s">
        <v>239</v>
      </c>
      <c r="C50" s="62">
        <v>52.237000000000002</v>
      </c>
      <c r="D50" s="62">
        <v>54.991999999999997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</row>
    <row r="51" spans="1:11" x14ac:dyDescent="0.35">
      <c r="A51" s="48" t="s">
        <v>238</v>
      </c>
      <c r="B51" s="48" t="s">
        <v>237</v>
      </c>
      <c r="C51" s="68">
        <v>61.459000000000003</v>
      </c>
      <c r="D51" s="68">
        <v>60.572000000000003</v>
      </c>
      <c r="E51" s="68">
        <v>81.242999999999995</v>
      </c>
      <c r="F51" s="68">
        <v>92.974000000000004</v>
      </c>
      <c r="G51" s="68">
        <v>148.11699999999999</v>
      </c>
      <c r="H51" s="68">
        <v>155.77099999999999</v>
      </c>
      <c r="I51" s="68">
        <v>175.33799999999999</v>
      </c>
      <c r="J51" s="68">
        <v>201.81100000000001</v>
      </c>
      <c r="K51" s="68">
        <v>271.67200000000003</v>
      </c>
    </row>
    <row r="52" spans="1:11" x14ac:dyDescent="0.35">
      <c r="A52" s="49" t="s">
        <v>236</v>
      </c>
      <c r="B52" s="49" t="s">
        <v>235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</row>
    <row r="53" spans="1:11" x14ac:dyDescent="0.35">
      <c r="A53" s="49" t="s">
        <v>234</v>
      </c>
      <c r="B53" s="49" t="s">
        <v>233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62">
        <v>0</v>
      </c>
    </row>
    <row r="54" spans="1:11" x14ac:dyDescent="0.35">
      <c r="A54" s="49" t="s">
        <v>232</v>
      </c>
      <c r="B54" s="49" t="s">
        <v>231</v>
      </c>
      <c r="C54" s="62">
        <v>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</row>
    <row r="55" spans="1:11" x14ac:dyDescent="0.35">
      <c r="A55" s="49" t="s">
        <v>230</v>
      </c>
      <c r="B55" s="49" t="s">
        <v>229</v>
      </c>
      <c r="C55" s="62">
        <v>0.14799999999999999</v>
      </c>
      <c r="D55" s="62">
        <v>0.22900000000000001</v>
      </c>
      <c r="E55" s="62">
        <v>0.96099999999999997</v>
      </c>
      <c r="F55" s="62">
        <v>6.2220000000000004</v>
      </c>
      <c r="G55" s="62">
        <v>10.366</v>
      </c>
      <c r="H55" s="62">
        <v>19.224</v>
      </c>
      <c r="I55" s="62">
        <v>22.838999999999999</v>
      </c>
      <c r="J55" s="62">
        <v>33.414999999999999</v>
      </c>
      <c r="K55" s="62">
        <v>39.034999999999997</v>
      </c>
    </row>
    <row r="56" spans="1:11" x14ac:dyDescent="0.35">
      <c r="A56" s="49" t="s">
        <v>228</v>
      </c>
      <c r="B56" s="49" t="s">
        <v>227</v>
      </c>
      <c r="C56" s="62" t="s">
        <v>33</v>
      </c>
      <c r="D56" s="62" t="s">
        <v>33</v>
      </c>
      <c r="E56" s="62">
        <v>0</v>
      </c>
      <c r="F56" s="62">
        <v>0</v>
      </c>
      <c r="G56" s="62">
        <v>0</v>
      </c>
      <c r="H56" s="62">
        <v>0</v>
      </c>
      <c r="I56" s="62">
        <v>0</v>
      </c>
      <c r="J56" s="62">
        <v>0</v>
      </c>
      <c r="K56" s="62">
        <v>0</v>
      </c>
    </row>
    <row r="57" spans="1:11" x14ac:dyDescent="0.35">
      <c r="A57" s="49" t="s">
        <v>226</v>
      </c>
      <c r="B57" s="49" t="s">
        <v>225</v>
      </c>
      <c r="C57" s="62" t="s">
        <v>33</v>
      </c>
      <c r="D57" s="62" t="s">
        <v>33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</row>
    <row r="58" spans="1:11" x14ac:dyDescent="0.35">
      <c r="A58" s="47" t="s">
        <v>224</v>
      </c>
      <c r="B58" s="47" t="s">
        <v>223</v>
      </c>
      <c r="C58" s="73" t="s">
        <v>33</v>
      </c>
      <c r="D58" s="73" t="s">
        <v>33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</row>
    <row r="59" spans="1:11" x14ac:dyDescent="0.35">
      <c r="A59" s="47" t="s">
        <v>222</v>
      </c>
      <c r="B59" s="47" t="s">
        <v>221</v>
      </c>
      <c r="C59" s="73" t="s">
        <v>33</v>
      </c>
      <c r="D59" s="73" t="s">
        <v>33</v>
      </c>
      <c r="E59" s="73">
        <v>0</v>
      </c>
      <c r="F59" s="73">
        <v>0</v>
      </c>
      <c r="G59" s="73">
        <v>0</v>
      </c>
      <c r="H59" s="73">
        <v>0</v>
      </c>
      <c r="I59" s="73">
        <v>0</v>
      </c>
      <c r="J59" s="73">
        <v>0</v>
      </c>
      <c r="K59" s="73">
        <v>0</v>
      </c>
    </row>
    <row r="60" spans="1:11" x14ac:dyDescent="0.35">
      <c r="A60" s="49" t="s">
        <v>220</v>
      </c>
      <c r="B60" s="49" t="s">
        <v>219</v>
      </c>
      <c r="C60" s="62" t="s">
        <v>33</v>
      </c>
      <c r="D60" s="62" t="s">
        <v>33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</row>
    <row r="61" spans="1:11" x14ac:dyDescent="0.35">
      <c r="A61" s="49" t="s">
        <v>218</v>
      </c>
      <c r="B61" s="49" t="s">
        <v>217</v>
      </c>
      <c r="C61" s="62" t="s">
        <v>33</v>
      </c>
      <c r="D61" s="62" t="s">
        <v>33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</row>
    <row r="62" spans="1:11" x14ac:dyDescent="0.35">
      <c r="A62" s="49" t="s">
        <v>216</v>
      </c>
      <c r="B62" s="49" t="s">
        <v>215</v>
      </c>
      <c r="C62" s="62">
        <v>0.14799999999999999</v>
      </c>
      <c r="D62" s="62">
        <v>0.22900000000000001</v>
      </c>
      <c r="E62" s="62">
        <v>0.96099999999999997</v>
      </c>
      <c r="F62" s="62">
        <v>6.2220000000000004</v>
      </c>
      <c r="G62" s="62">
        <v>10.366</v>
      </c>
      <c r="H62" s="62">
        <v>19.224</v>
      </c>
      <c r="I62" s="62">
        <v>22.838999999999999</v>
      </c>
      <c r="J62" s="62">
        <v>33.414999999999999</v>
      </c>
      <c r="K62" s="62">
        <v>39.034999999999997</v>
      </c>
    </row>
    <row r="63" spans="1:11" x14ac:dyDescent="0.35">
      <c r="A63" s="48" t="s">
        <v>214</v>
      </c>
      <c r="B63" s="48" t="s">
        <v>213</v>
      </c>
      <c r="C63" s="68">
        <v>0.14799999999999999</v>
      </c>
      <c r="D63" s="68">
        <v>0.22900000000000001</v>
      </c>
      <c r="E63" s="68">
        <v>0.96099999999999997</v>
      </c>
      <c r="F63" s="68">
        <v>6.2220000000000004</v>
      </c>
      <c r="G63" s="68">
        <v>10.366</v>
      </c>
      <c r="H63" s="68">
        <v>19.224</v>
      </c>
      <c r="I63" s="68">
        <v>22.838999999999999</v>
      </c>
      <c r="J63" s="68">
        <v>33.414999999999999</v>
      </c>
      <c r="K63" s="68">
        <v>39.034999999999997</v>
      </c>
    </row>
    <row r="64" spans="1:11" x14ac:dyDescent="0.35">
      <c r="A64" s="48" t="s">
        <v>212</v>
      </c>
      <c r="B64" s="48" t="s">
        <v>211</v>
      </c>
      <c r="C64" s="68">
        <v>61.606999999999999</v>
      </c>
      <c r="D64" s="68">
        <v>60.801000000000002</v>
      </c>
      <c r="E64" s="68">
        <v>82.203999999999994</v>
      </c>
      <c r="F64" s="68">
        <v>99.195999999999998</v>
      </c>
      <c r="G64" s="68">
        <v>158.483</v>
      </c>
      <c r="H64" s="68">
        <v>174.995</v>
      </c>
      <c r="I64" s="68">
        <v>198.17699999999999</v>
      </c>
      <c r="J64" s="68">
        <v>235.226</v>
      </c>
      <c r="K64" s="68">
        <v>310.70699999999999</v>
      </c>
    </row>
    <row r="65" spans="1:11" x14ac:dyDescent="0.35">
      <c r="A65" s="49" t="s">
        <v>210</v>
      </c>
      <c r="B65" s="49" t="s">
        <v>209</v>
      </c>
      <c r="C65" s="62">
        <v>0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</row>
    <row r="66" spans="1:11" x14ac:dyDescent="0.35">
      <c r="A66" s="49" t="s">
        <v>208</v>
      </c>
      <c r="B66" s="49" t="s">
        <v>207</v>
      </c>
      <c r="C66" s="62">
        <v>450.14699999999999</v>
      </c>
      <c r="D66" s="62">
        <v>439.50099999999998</v>
      </c>
      <c r="E66" s="62">
        <v>525.08000000000004</v>
      </c>
      <c r="F66" s="62">
        <v>555.85900000000004</v>
      </c>
      <c r="G66" s="62">
        <v>607.24800000000005</v>
      </c>
      <c r="H66" s="62">
        <v>670.74</v>
      </c>
      <c r="I66" s="62">
        <v>729.58600000000001</v>
      </c>
      <c r="J66" s="62">
        <v>783.41800000000001</v>
      </c>
      <c r="K66" s="62">
        <v>821.51499999999999</v>
      </c>
    </row>
    <row r="67" spans="1:11" x14ac:dyDescent="0.35">
      <c r="A67" s="49" t="s">
        <v>206</v>
      </c>
      <c r="B67" s="49" t="s">
        <v>205</v>
      </c>
      <c r="C67" s="62" t="s">
        <v>33</v>
      </c>
      <c r="D67" s="62" t="s">
        <v>33</v>
      </c>
      <c r="E67" s="62">
        <v>7.0000000000000001E-3</v>
      </c>
      <c r="F67" s="62">
        <v>8.0000000000000002E-3</v>
      </c>
      <c r="G67" s="62">
        <v>8.0000000000000002E-3</v>
      </c>
      <c r="H67" s="62">
        <v>8.0000000000000002E-3</v>
      </c>
      <c r="I67" s="62">
        <v>8.0000000000000002E-3</v>
      </c>
      <c r="J67" s="62">
        <v>8.0000000000000002E-3</v>
      </c>
      <c r="K67" s="62">
        <v>8.0000000000000002E-3</v>
      </c>
    </row>
    <row r="68" spans="1:11" x14ac:dyDescent="0.35">
      <c r="A68" s="49" t="s">
        <v>204</v>
      </c>
      <c r="B68" s="49" t="s">
        <v>203</v>
      </c>
      <c r="C68" s="62" t="s">
        <v>33</v>
      </c>
      <c r="D68" s="62" t="s">
        <v>33</v>
      </c>
      <c r="E68" s="62">
        <v>525.07299999999998</v>
      </c>
      <c r="F68" s="62">
        <v>555.851</v>
      </c>
      <c r="G68" s="62">
        <v>607.24</v>
      </c>
      <c r="H68" s="62">
        <v>670.73199999999997</v>
      </c>
      <c r="I68" s="62">
        <v>729.57799999999997</v>
      </c>
      <c r="J68" s="62">
        <v>783.41</v>
      </c>
      <c r="K68" s="62">
        <v>821.50699999999995</v>
      </c>
    </row>
    <row r="69" spans="1:11" x14ac:dyDescent="0.35">
      <c r="A69" s="49" t="s">
        <v>202</v>
      </c>
      <c r="B69" s="49" t="s">
        <v>201</v>
      </c>
      <c r="C69" s="62" t="s">
        <v>33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</row>
    <row r="70" spans="1:11" x14ac:dyDescent="0.35">
      <c r="A70" s="49" t="s">
        <v>200</v>
      </c>
      <c r="B70" s="49" t="s">
        <v>199</v>
      </c>
      <c r="C70" s="62">
        <v>-289.64999999999998</v>
      </c>
      <c r="D70" s="62">
        <v>-221.23</v>
      </c>
      <c r="E70" s="62">
        <v>-252.499</v>
      </c>
      <c r="F70" s="62">
        <v>-178.24600000000001</v>
      </c>
      <c r="G70" s="62">
        <v>-116.51300000000001</v>
      </c>
      <c r="H70" s="62">
        <v>-89.626000000000005</v>
      </c>
      <c r="I70" s="62">
        <v>-95.91</v>
      </c>
      <c r="J70" s="62">
        <v>-30.507000000000001</v>
      </c>
      <c r="K70" s="62">
        <v>27.390999999999998</v>
      </c>
    </row>
    <row r="71" spans="1:11" x14ac:dyDescent="0.35">
      <c r="A71" s="49" t="s">
        <v>198</v>
      </c>
      <c r="B71" s="49" t="s">
        <v>197</v>
      </c>
      <c r="C71" s="62">
        <v>0.65700000000000003</v>
      </c>
      <c r="D71" s="62">
        <v>0.26900000000000002</v>
      </c>
      <c r="E71" s="62">
        <v>0.45500000000000002</v>
      </c>
      <c r="F71" s="62">
        <v>0.13400000000000001</v>
      </c>
      <c r="G71" s="62">
        <v>4.5999999999999999E-2</v>
      </c>
      <c r="H71" s="62">
        <v>0.20300000000000001</v>
      </c>
      <c r="I71" s="62">
        <v>0.29399999999999998</v>
      </c>
      <c r="J71" s="62">
        <v>-0.14000000000000001</v>
      </c>
      <c r="K71" s="62">
        <v>-0.98</v>
      </c>
    </row>
    <row r="72" spans="1:11" x14ac:dyDescent="0.35">
      <c r="A72" s="48" t="s">
        <v>196</v>
      </c>
      <c r="B72" s="48" t="s">
        <v>195</v>
      </c>
      <c r="C72" s="68">
        <v>161.154</v>
      </c>
      <c r="D72" s="68">
        <v>218.54</v>
      </c>
      <c r="E72" s="68">
        <v>273.036</v>
      </c>
      <c r="F72" s="68">
        <v>377.74700000000001</v>
      </c>
      <c r="G72" s="68">
        <v>490.78100000000001</v>
      </c>
      <c r="H72" s="68">
        <v>581.31700000000001</v>
      </c>
      <c r="I72" s="68">
        <v>633.97</v>
      </c>
      <c r="J72" s="68">
        <v>752.77099999999996</v>
      </c>
      <c r="K72" s="68">
        <v>847.92600000000004</v>
      </c>
    </row>
    <row r="73" spans="1:11" x14ac:dyDescent="0.35">
      <c r="A73" s="49" t="s">
        <v>194</v>
      </c>
      <c r="B73" s="49" t="s">
        <v>193</v>
      </c>
      <c r="C73" s="62">
        <v>0</v>
      </c>
      <c r="D73" s="62">
        <v>0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</row>
    <row r="74" spans="1:11" x14ac:dyDescent="0.35">
      <c r="A74" s="48" t="s">
        <v>192</v>
      </c>
      <c r="B74" s="48" t="s">
        <v>191</v>
      </c>
      <c r="C74" s="68">
        <v>161.154</v>
      </c>
      <c r="D74" s="68">
        <v>218.54</v>
      </c>
      <c r="E74" s="68">
        <v>273.036</v>
      </c>
      <c r="F74" s="68">
        <v>377.74700000000001</v>
      </c>
      <c r="G74" s="68">
        <v>490.78100000000001</v>
      </c>
      <c r="H74" s="68">
        <v>581.31700000000001</v>
      </c>
      <c r="I74" s="68">
        <v>633.97</v>
      </c>
      <c r="J74" s="68">
        <v>752.77099999999996</v>
      </c>
      <c r="K74" s="68">
        <v>847.92600000000004</v>
      </c>
    </row>
    <row r="75" spans="1:11" x14ac:dyDescent="0.35">
      <c r="A75" s="48" t="s">
        <v>190</v>
      </c>
      <c r="B75" s="48" t="s">
        <v>189</v>
      </c>
      <c r="C75" s="68">
        <v>222.761</v>
      </c>
      <c r="D75" s="68">
        <v>279.34100000000001</v>
      </c>
      <c r="E75" s="68">
        <v>355.24</v>
      </c>
      <c r="F75" s="68">
        <v>476.94299999999998</v>
      </c>
      <c r="G75" s="68">
        <v>649.26400000000001</v>
      </c>
      <c r="H75" s="68">
        <v>756.31200000000001</v>
      </c>
      <c r="I75" s="68">
        <v>832.14700000000005</v>
      </c>
      <c r="J75" s="68">
        <v>987.99699999999996</v>
      </c>
      <c r="K75" s="68">
        <v>1158.633</v>
      </c>
    </row>
    <row r="76" spans="1:11" x14ac:dyDescent="0.35">
      <c r="A76" s="48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x14ac:dyDescent="0.35">
      <c r="A77" s="48" t="s">
        <v>2</v>
      </c>
      <c r="B77" s="67"/>
      <c r="C77" s="67"/>
      <c r="D77" s="67"/>
      <c r="E77" s="67"/>
      <c r="F77" s="67"/>
      <c r="G77" s="67"/>
      <c r="H77" s="67"/>
      <c r="I77" s="67"/>
      <c r="J77" s="67"/>
      <c r="K77" s="67"/>
    </row>
    <row r="78" spans="1:11" x14ac:dyDescent="0.35">
      <c r="A78" s="49" t="s">
        <v>136</v>
      </c>
      <c r="B78" s="49" t="s">
        <v>137</v>
      </c>
      <c r="C78" s="61" t="s">
        <v>138</v>
      </c>
      <c r="D78" s="61" t="s">
        <v>138</v>
      </c>
      <c r="E78" s="61" t="s">
        <v>138</v>
      </c>
      <c r="F78" s="61" t="s">
        <v>138</v>
      </c>
      <c r="G78" s="61" t="s">
        <v>138</v>
      </c>
      <c r="H78" s="61" t="s">
        <v>138</v>
      </c>
      <c r="I78" s="61" t="s">
        <v>138</v>
      </c>
      <c r="J78" s="61" t="s">
        <v>138</v>
      </c>
      <c r="K78" s="61" t="s">
        <v>138</v>
      </c>
    </row>
    <row r="79" spans="1:11" x14ac:dyDescent="0.35">
      <c r="A79" s="49" t="s">
        <v>188</v>
      </c>
      <c r="B79" s="49" t="s">
        <v>187</v>
      </c>
      <c r="C79" s="62">
        <v>68.641999999999996</v>
      </c>
      <c r="D79" s="62">
        <v>65.632999999999996</v>
      </c>
      <c r="E79" s="62">
        <v>74.567999999999998</v>
      </c>
      <c r="F79" s="62">
        <v>76.39</v>
      </c>
      <c r="G79" s="62">
        <v>78.775999999999996</v>
      </c>
      <c r="H79" s="62">
        <v>80.611000000000004</v>
      </c>
      <c r="I79" s="62">
        <v>80.582999999999998</v>
      </c>
      <c r="J79" s="62">
        <v>80.204999999999998</v>
      </c>
      <c r="K79" s="62">
        <v>79.5</v>
      </c>
    </row>
    <row r="80" spans="1:11" x14ac:dyDescent="0.35">
      <c r="A80" s="49" t="s">
        <v>186</v>
      </c>
      <c r="B80" s="49" t="s">
        <v>185</v>
      </c>
      <c r="C80" s="62">
        <v>0.04</v>
      </c>
      <c r="D80" s="62">
        <v>0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0</v>
      </c>
      <c r="K80" s="62">
        <v>0</v>
      </c>
    </row>
    <row r="81" spans="1:11" x14ac:dyDescent="0.35">
      <c r="A81" s="49" t="s">
        <v>184</v>
      </c>
      <c r="B81" s="49" t="s">
        <v>183</v>
      </c>
      <c r="C81" s="62">
        <v>6.0019999999999998</v>
      </c>
      <c r="D81" s="62">
        <v>9.6869999999999994</v>
      </c>
      <c r="E81" s="62">
        <v>8.5739999999999998</v>
      </c>
      <c r="F81" s="62">
        <v>22.835999999999999</v>
      </c>
      <c r="G81" s="62">
        <v>27.9</v>
      </c>
      <c r="H81" s="62">
        <v>25.718</v>
      </c>
      <c r="I81" s="62">
        <v>28.273</v>
      </c>
      <c r="J81" s="62">
        <v>24.045999999999999</v>
      </c>
      <c r="K81" s="62">
        <v>19.75</v>
      </c>
    </row>
    <row r="82" spans="1:11" x14ac:dyDescent="0.35">
      <c r="A82" s="49" t="s">
        <v>182</v>
      </c>
      <c r="B82" s="49" t="s">
        <v>181</v>
      </c>
      <c r="C82" s="62">
        <v>0</v>
      </c>
      <c r="D82" s="62">
        <v>0</v>
      </c>
      <c r="E82" s="62">
        <v>0</v>
      </c>
      <c r="F82" s="62">
        <v>0</v>
      </c>
      <c r="G82" s="62">
        <v>0</v>
      </c>
      <c r="H82" s="62">
        <v>0</v>
      </c>
      <c r="I82" s="62">
        <v>0</v>
      </c>
      <c r="J82" s="62">
        <v>0</v>
      </c>
      <c r="K82" s="62">
        <v>0</v>
      </c>
    </row>
    <row r="83" spans="1:11" x14ac:dyDescent="0.35">
      <c r="A83" s="49" t="s">
        <v>180</v>
      </c>
      <c r="B83" s="49" t="s">
        <v>179</v>
      </c>
      <c r="C83" s="62">
        <v>1.5169999999999999</v>
      </c>
      <c r="D83" s="62">
        <v>2.1819999999999999</v>
      </c>
      <c r="E83" s="62">
        <v>1.1339999999999999</v>
      </c>
      <c r="F83" s="62">
        <v>1.5009999999999999</v>
      </c>
      <c r="G83" s="62">
        <v>0.42099999999999999</v>
      </c>
      <c r="H83" s="62">
        <v>0</v>
      </c>
      <c r="I83" s="62">
        <v>0</v>
      </c>
      <c r="J83" s="62">
        <v>0</v>
      </c>
      <c r="K83" s="62">
        <v>0</v>
      </c>
    </row>
    <row r="84" spans="1:11" x14ac:dyDescent="0.35">
      <c r="A84" s="49" t="s">
        <v>178</v>
      </c>
      <c r="B84" s="49" t="s">
        <v>177</v>
      </c>
      <c r="C84" s="62">
        <v>7.133</v>
      </c>
      <c r="D84" s="62">
        <v>7.3090000000000002</v>
      </c>
      <c r="E84" s="62">
        <v>7.4880000000000004</v>
      </c>
      <c r="F84" s="62">
        <v>7.8150000000000004</v>
      </c>
      <c r="G84" s="62">
        <v>6.19</v>
      </c>
      <c r="H84" s="62">
        <v>3.2759999999999998</v>
      </c>
      <c r="I84" s="62">
        <v>1.321</v>
      </c>
      <c r="J84" s="62">
        <v>0.66800000000000004</v>
      </c>
      <c r="K84" s="62">
        <v>0.496</v>
      </c>
    </row>
    <row r="85" spans="1:11" x14ac:dyDescent="0.35">
      <c r="A85" s="49" t="s">
        <v>176</v>
      </c>
      <c r="B85" s="49" t="s">
        <v>175</v>
      </c>
      <c r="C85" s="62">
        <v>-127.89</v>
      </c>
      <c r="D85" s="62">
        <v>-110.166</v>
      </c>
      <c r="E85" s="62">
        <v>-186.465</v>
      </c>
      <c r="F85" s="62">
        <v>-312.36799999999999</v>
      </c>
      <c r="G85" s="62">
        <v>-248.07</v>
      </c>
      <c r="H85" s="62">
        <v>-356.12299999999999</v>
      </c>
      <c r="I85" s="62">
        <v>-471.971</v>
      </c>
      <c r="J85" s="62">
        <v>-602.54999999999995</v>
      </c>
      <c r="K85" s="62">
        <v>-678.66499999999996</v>
      </c>
    </row>
    <row r="86" spans="1:11" x14ac:dyDescent="0.35">
      <c r="A86" s="49" t="s">
        <v>174</v>
      </c>
      <c r="B86" s="49" t="s">
        <v>173</v>
      </c>
      <c r="C86" s="63">
        <v>-79.358874</v>
      </c>
      <c r="D86" s="63">
        <v>-50.409993999999998</v>
      </c>
      <c r="E86" s="63">
        <v>-68.293192000000005</v>
      </c>
      <c r="F86" s="63">
        <v>-82.692384000000004</v>
      </c>
      <c r="G86" s="63">
        <v>-50.545966999999997</v>
      </c>
      <c r="H86" s="63">
        <v>-61.261412</v>
      </c>
      <c r="I86" s="63">
        <v>-74.446898000000004</v>
      </c>
      <c r="J86" s="63">
        <v>-80.044263000000001</v>
      </c>
      <c r="K86" s="63">
        <v>-80.038234000000003</v>
      </c>
    </row>
    <row r="87" spans="1:11" x14ac:dyDescent="0.35">
      <c r="A87" s="49" t="s">
        <v>172</v>
      </c>
      <c r="B87" s="49" t="s">
        <v>171</v>
      </c>
      <c r="C87" s="63">
        <v>70.894514000000001</v>
      </c>
      <c r="D87" s="63">
        <v>77.570414</v>
      </c>
      <c r="E87" s="63">
        <v>76.497967000000003</v>
      </c>
      <c r="F87" s="63">
        <v>79.084795999999997</v>
      </c>
      <c r="G87" s="63">
        <v>65.833798999999999</v>
      </c>
      <c r="H87" s="63">
        <v>71.373255999999998</v>
      </c>
      <c r="I87" s="63">
        <v>73.462643</v>
      </c>
      <c r="J87" s="63">
        <v>74.035173999999998</v>
      </c>
      <c r="K87" s="63">
        <v>71.216735</v>
      </c>
    </row>
    <row r="88" spans="1:11" x14ac:dyDescent="0.35">
      <c r="A88" s="49" t="s">
        <v>170</v>
      </c>
      <c r="B88" s="49" t="s">
        <v>169</v>
      </c>
      <c r="C88" s="63">
        <v>3.002278</v>
      </c>
      <c r="D88" s="63">
        <v>2.9371160000000001</v>
      </c>
      <c r="E88" s="63">
        <v>3.2162649999999999</v>
      </c>
      <c r="F88" s="63">
        <v>4.1797810000000002</v>
      </c>
      <c r="G88" s="63">
        <v>2.5980539999999999</v>
      </c>
      <c r="H88" s="63">
        <v>3.118636</v>
      </c>
      <c r="I88" s="63">
        <v>3.1064340000000001</v>
      </c>
      <c r="J88" s="63">
        <v>3.2563140000000002</v>
      </c>
      <c r="K88" s="63">
        <v>2.6944620000000001</v>
      </c>
    </row>
    <row r="89" spans="1:11" x14ac:dyDescent="0.35">
      <c r="A89" s="49" t="s">
        <v>168</v>
      </c>
      <c r="B89" s="49" t="s">
        <v>167</v>
      </c>
      <c r="C89" s="63">
        <v>30.212406000000001</v>
      </c>
      <c r="D89" s="63">
        <v>35.067773000000003</v>
      </c>
      <c r="E89" s="63">
        <v>44.687182</v>
      </c>
      <c r="F89" s="63">
        <v>36.458665000000003</v>
      </c>
      <c r="G89" s="63">
        <v>38.748095999999997</v>
      </c>
      <c r="H89" s="63">
        <v>45.946950000000001</v>
      </c>
      <c r="I89" s="63">
        <v>49.16292</v>
      </c>
      <c r="J89" s="63">
        <v>47.631397999999997</v>
      </c>
      <c r="K89" s="63">
        <v>43.362648</v>
      </c>
    </row>
    <row r="90" spans="1:11" x14ac:dyDescent="0.35">
      <c r="A90" s="49" t="s">
        <v>166</v>
      </c>
      <c r="B90" s="49" t="s">
        <v>165</v>
      </c>
      <c r="C90" s="63" t="s">
        <v>33</v>
      </c>
      <c r="D90" s="63" t="s">
        <v>33</v>
      </c>
      <c r="E90" s="63" t="s">
        <v>33</v>
      </c>
      <c r="F90" s="63" t="s">
        <v>33</v>
      </c>
      <c r="G90" s="63" t="s">
        <v>33</v>
      </c>
      <c r="H90" s="63" t="s">
        <v>33</v>
      </c>
      <c r="I90" s="63">
        <v>3420</v>
      </c>
      <c r="J90" s="63">
        <v>3580</v>
      </c>
      <c r="K90" s="63">
        <v>4375</v>
      </c>
    </row>
    <row r="91" spans="1:11" x14ac:dyDescent="0.35">
      <c r="A91" s="56" t="s">
        <v>164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4"/>
  <sheetViews>
    <sheetView zoomScale="85" zoomScaleNormal="85" workbookViewId="0">
      <selection activeCell="N37" sqref="N37"/>
    </sheetView>
  </sheetViews>
  <sheetFormatPr defaultRowHeight="14.5" x14ac:dyDescent="0.35"/>
  <cols>
    <col min="1" max="1" width="35.1796875" customWidth="1"/>
    <col min="2" max="2" width="0" hidden="1" customWidth="1"/>
    <col min="3" max="19" width="11.81640625" customWidth="1"/>
  </cols>
  <sheetData>
    <row r="1" spans="1:19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20" x14ac:dyDescent="0.35">
      <c r="A2" s="57" t="s">
        <v>320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</row>
    <row r="3" spans="1:19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19" x14ac:dyDescent="0.35">
      <c r="A4" s="43" t="s">
        <v>4</v>
      </c>
      <c r="B4" s="43"/>
      <c r="C4" s="44" t="s">
        <v>5</v>
      </c>
      <c r="D4" s="44" t="s">
        <v>6</v>
      </c>
      <c r="E4" s="44" t="s">
        <v>7</v>
      </c>
      <c r="F4" s="44" t="s">
        <v>8</v>
      </c>
      <c r="G4" s="44" t="s">
        <v>9</v>
      </c>
      <c r="H4" s="44" t="s">
        <v>10</v>
      </c>
      <c r="I4" s="44" t="s">
        <v>11</v>
      </c>
      <c r="J4" s="44" t="s">
        <v>12</v>
      </c>
      <c r="K4" s="44" t="s">
        <v>13</v>
      </c>
      <c r="L4" s="44"/>
      <c r="M4" s="44"/>
      <c r="N4" s="44"/>
      <c r="O4" s="44"/>
      <c r="P4" s="44"/>
      <c r="Q4" s="44"/>
      <c r="R4" s="44"/>
      <c r="S4" s="44" t="s">
        <v>14</v>
      </c>
    </row>
    <row r="5" spans="1:19" x14ac:dyDescent="0.35">
      <c r="A5" s="45" t="s">
        <v>17</v>
      </c>
      <c r="B5" s="45"/>
      <c r="C5" s="46" t="s">
        <v>18</v>
      </c>
      <c r="D5" s="46" t="s">
        <v>19</v>
      </c>
      <c r="E5" s="46" t="s">
        <v>20</v>
      </c>
      <c r="F5" s="46" t="s">
        <v>21</v>
      </c>
      <c r="G5" s="46" t="s">
        <v>22</v>
      </c>
      <c r="H5" s="46" t="s">
        <v>23</v>
      </c>
      <c r="I5" s="46" t="s">
        <v>24</v>
      </c>
      <c r="J5" s="46" t="s">
        <v>25</v>
      </c>
      <c r="K5" s="46" t="s">
        <v>26</v>
      </c>
      <c r="L5" s="46">
        <v>2016</v>
      </c>
      <c r="M5" s="46">
        <v>2017</v>
      </c>
      <c r="N5" s="46">
        <v>2018</v>
      </c>
      <c r="O5" s="46">
        <v>2019</v>
      </c>
      <c r="P5" s="46">
        <v>2020</v>
      </c>
      <c r="Q5" s="46" t="s">
        <v>506</v>
      </c>
      <c r="R5" s="46" t="s">
        <v>507</v>
      </c>
      <c r="S5" s="46" t="s">
        <v>27</v>
      </c>
    </row>
    <row r="6" spans="1:19" ht="15" thickBot="1" x14ac:dyDescent="0.4">
      <c r="A6" s="48" t="s">
        <v>402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70"/>
    </row>
    <row r="7" spans="1:19" x14ac:dyDescent="0.35">
      <c r="A7" s="49" t="s">
        <v>425</v>
      </c>
      <c r="B7" s="49" t="s">
        <v>424</v>
      </c>
      <c r="C7" s="62">
        <v>35.723999999999997</v>
      </c>
      <c r="D7" s="62">
        <v>79.986999999999995</v>
      </c>
      <c r="E7" s="62">
        <v>-31.268999999999998</v>
      </c>
      <c r="F7" s="62">
        <v>74.253</v>
      </c>
      <c r="G7" s="62">
        <v>66.715999999999994</v>
      </c>
      <c r="H7" s="62">
        <v>58.691000000000003</v>
      </c>
      <c r="I7" s="62">
        <v>64.295000000000002</v>
      </c>
      <c r="J7" s="117">
        <v>145.83199999999999</v>
      </c>
      <c r="K7" s="129">
        <v>144.02000000000001</v>
      </c>
      <c r="L7" s="122"/>
      <c r="M7" s="62"/>
      <c r="N7" s="62"/>
      <c r="O7" s="62"/>
      <c r="P7" s="62"/>
      <c r="Q7" s="62"/>
      <c r="R7" s="62"/>
      <c r="S7" s="65">
        <v>190.93799999999999</v>
      </c>
    </row>
    <row r="8" spans="1:19" s="1" customFormat="1" x14ac:dyDescent="0.35">
      <c r="A8" s="85" t="s">
        <v>423</v>
      </c>
      <c r="B8" s="85" t="s">
        <v>422</v>
      </c>
      <c r="C8" s="86">
        <v>13.385</v>
      </c>
      <c r="D8" s="86">
        <v>12.791</v>
      </c>
      <c r="E8" s="86">
        <v>13.004</v>
      </c>
      <c r="F8" s="86">
        <v>14.186</v>
      </c>
      <c r="G8" s="86">
        <v>17.477</v>
      </c>
      <c r="H8" s="86">
        <v>17.811</v>
      </c>
      <c r="I8" s="86">
        <v>16.824999999999999</v>
      </c>
      <c r="J8" s="148">
        <v>17.856000000000002</v>
      </c>
      <c r="K8" s="149">
        <v>18.004000000000001</v>
      </c>
      <c r="L8" s="119">
        <f>L9*'ALGN(IS)'!L$6</f>
        <v>19.446178</v>
      </c>
      <c r="M8" s="86">
        <f>M9*'ALGN(IS)'!M$6</f>
        <v>22.363104699999994</v>
      </c>
      <c r="N8" s="86">
        <f>N9*'ALGN(IS)'!N$6</f>
        <v>25.046677263999996</v>
      </c>
      <c r="O8" s="86">
        <f>O9*'ALGN(IS)'!O$6</f>
        <v>27.551344990399997</v>
      </c>
      <c r="P8" s="86">
        <f>P9*'ALGN(IS)'!P$6</f>
        <v>30.306479489439997</v>
      </c>
      <c r="Q8" s="86"/>
      <c r="R8" s="86"/>
      <c r="S8" s="87">
        <v>21.649000000000001</v>
      </c>
    </row>
    <row r="9" spans="1:19" s="90" customFormat="1" x14ac:dyDescent="0.35">
      <c r="A9" s="88" t="s">
        <v>509</v>
      </c>
      <c r="B9" s="88"/>
      <c r="C9" s="89">
        <f>C8/'ALGN(IS)'!C$6</f>
        <v>4.7075250059789263E-2</v>
      </c>
      <c r="D9" s="89">
        <f>D8/'ALGN(IS)'!D$6</f>
        <v>4.2078979919467331E-2</v>
      </c>
      <c r="E9" s="89">
        <f>E8/'ALGN(IS)'!E$6</f>
        <v>4.1635049770597406E-2</v>
      </c>
      <c r="F9" s="89">
        <f>F8/'ALGN(IS)'!F$6</f>
        <v>3.6644400014465575E-2</v>
      </c>
      <c r="G9" s="89">
        <f>G8/'ALGN(IS)'!G$6</f>
        <v>3.6430073727282013E-2</v>
      </c>
      <c r="H9" s="89">
        <f>H8/'ALGN(IS)'!H$6</f>
        <v>3.1803028706826816E-2</v>
      </c>
      <c r="I9" s="89">
        <f>I8/'ALGN(IS)'!I$6</f>
        <v>2.5484469998757961E-2</v>
      </c>
      <c r="J9" s="115">
        <f>J8/'ALGN(IS)'!J$6</f>
        <v>2.3443746693047884E-2</v>
      </c>
      <c r="K9" s="125">
        <f>K8/'ALGN(IS)'!K$6</f>
        <v>2.1294261525323897E-2</v>
      </c>
      <c r="L9" s="120">
        <v>0.02</v>
      </c>
      <c r="M9" s="89">
        <v>0.02</v>
      </c>
      <c r="N9" s="89">
        <v>0.02</v>
      </c>
      <c r="O9" s="89">
        <v>0.02</v>
      </c>
      <c r="P9" s="89">
        <v>0.02</v>
      </c>
      <c r="Q9" s="89">
        <f>(K8/G8)^(1/5)-1</f>
        <v>5.9593315133084079E-3</v>
      </c>
      <c r="R9" s="89">
        <f>AVERAGE(G9:K9)</f>
        <v>2.769111613024771E-2</v>
      </c>
      <c r="S9" s="89"/>
    </row>
    <row r="10" spans="1:19" x14ac:dyDescent="0.35">
      <c r="A10" s="49" t="s">
        <v>421</v>
      </c>
      <c r="B10" s="49" t="s">
        <v>420</v>
      </c>
      <c r="C10" s="62">
        <v>13.222</v>
      </c>
      <c r="D10" s="62">
        <v>-44.720999999999997</v>
      </c>
      <c r="E10" s="62">
        <v>76.546000000000006</v>
      </c>
      <c r="F10" s="62">
        <v>30.497</v>
      </c>
      <c r="G10" s="62">
        <v>13.734</v>
      </c>
      <c r="H10" s="62">
        <v>60.658999999999999</v>
      </c>
      <c r="I10" s="62">
        <v>91.694000000000003</v>
      </c>
      <c r="J10" s="117">
        <v>54.017000000000003</v>
      </c>
      <c r="K10" s="127">
        <v>44.921999999999997</v>
      </c>
      <c r="L10" s="122"/>
      <c r="M10" s="62"/>
      <c r="N10" s="62"/>
      <c r="O10" s="62"/>
      <c r="P10" s="62"/>
      <c r="Q10" s="62"/>
      <c r="R10" s="62"/>
      <c r="S10" s="65">
        <v>32.755000000000003</v>
      </c>
    </row>
    <row r="11" spans="1:19" x14ac:dyDescent="0.35">
      <c r="A11" s="49" t="s">
        <v>419</v>
      </c>
      <c r="B11" s="49" t="s">
        <v>418</v>
      </c>
      <c r="C11" s="62">
        <v>12.211</v>
      </c>
      <c r="D11" s="62">
        <v>16.913</v>
      </c>
      <c r="E11" s="62">
        <v>15.725</v>
      </c>
      <c r="F11" s="62">
        <v>12.106999999999999</v>
      </c>
      <c r="G11" s="62">
        <v>7.774</v>
      </c>
      <c r="H11" s="62">
        <v>4.2960000000000003</v>
      </c>
      <c r="I11" s="62">
        <v>-0.66500000000000004</v>
      </c>
      <c r="J11" s="117">
        <v>18.43</v>
      </c>
      <c r="K11" s="127">
        <v>42.546999999999997</v>
      </c>
      <c r="L11" s="122"/>
      <c r="M11" s="62"/>
      <c r="N11" s="62"/>
      <c r="O11" s="62"/>
      <c r="P11" s="62"/>
      <c r="Q11" s="62"/>
      <c r="R11" s="62"/>
      <c r="S11" s="65">
        <v>51.122999999999998</v>
      </c>
    </row>
    <row r="12" spans="1:19" x14ac:dyDescent="0.35">
      <c r="A12" s="49" t="s">
        <v>417</v>
      </c>
      <c r="B12" s="49" t="s">
        <v>416</v>
      </c>
      <c r="C12" s="62">
        <v>0</v>
      </c>
      <c r="D12" s="62">
        <v>-64.608000000000004</v>
      </c>
      <c r="E12" s="62">
        <v>-2.6120000000000001</v>
      </c>
      <c r="F12" s="62">
        <v>17.306999999999999</v>
      </c>
      <c r="G12" s="62">
        <v>5.8419999999999996</v>
      </c>
      <c r="H12" s="62">
        <v>17.783000000000001</v>
      </c>
      <c r="I12" s="62">
        <v>21.204000000000001</v>
      </c>
      <c r="J12" s="117">
        <v>25.481000000000002</v>
      </c>
      <c r="K12" s="127">
        <v>-11.423999999999999</v>
      </c>
      <c r="L12" s="122"/>
      <c r="M12" s="62"/>
      <c r="N12" s="62"/>
      <c r="O12" s="62"/>
      <c r="P12" s="62"/>
      <c r="Q12" s="62"/>
      <c r="R12" s="62"/>
      <c r="S12" s="65">
        <v>-32.916999786376998</v>
      </c>
    </row>
    <row r="13" spans="1:19" x14ac:dyDescent="0.35">
      <c r="A13" s="49" t="s">
        <v>415</v>
      </c>
      <c r="B13" s="49" t="s">
        <v>414</v>
      </c>
      <c r="C13" s="62">
        <v>1.0109999999999999</v>
      </c>
      <c r="D13" s="62">
        <v>2.9740000000000002</v>
      </c>
      <c r="E13" s="62">
        <v>63.433</v>
      </c>
      <c r="F13" s="62">
        <v>1.083</v>
      </c>
      <c r="G13" s="62">
        <v>0.11799999999999999</v>
      </c>
      <c r="H13" s="62">
        <v>38.58</v>
      </c>
      <c r="I13" s="62">
        <v>71.155000000000001</v>
      </c>
      <c r="J13" s="117">
        <v>10.106</v>
      </c>
      <c r="K13" s="127">
        <v>13.798999999999999</v>
      </c>
      <c r="L13" s="122"/>
      <c r="M13" s="62"/>
      <c r="N13" s="62"/>
      <c r="O13" s="62"/>
      <c r="P13" s="62"/>
      <c r="Q13" s="62"/>
      <c r="R13" s="62"/>
      <c r="S13" s="65">
        <v>14.548999999999999</v>
      </c>
    </row>
    <row r="14" spans="1:19" s="1" customFormat="1" x14ac:dyDescent="0.35">
      <c r="A14" s="85" t="s">
        <v>413</v>
      </c>
      <c r="B14" s="85" t="s">
        <v>412</v>
      </c>
      <c r="C14" s="86">
        <v>-9.5540000000000003</v>
      </c>
      <c r="D14" s="86">
        <v>-8.3109999999999999</v>
      </c>
      <c r="E14" s="86">
        <v>15.884</v>
      </c>
      <c r="F14" s="86">
        <v>10.593</v>
      </c>
      <c r="G14" s="86">
        <v>32.542000000000002</v>
      </c>
      <c r="H14" s="86">
        <v>-3.383</v>
      </c>
      <c r="I14" s="86">
        <v>13.162000000000001</v>
      </c>
      <c r="J14" s="148">
        <v>9.1940000000000008</v>
      </c>
      <c r="K14" s="149">
        <v>31.050999999999998</v>
      </c>
      <c r="L14" s="119">
        <f>L15*'ALGN(IS)'!L$6</f>
        <v>19.446178</v>
      </c>
      <c r="M14" s="86">
        <f>M15*'ALGN(IS)'!M$6</f>
        <v>22.363104699999994</v>
      </c>
      <c r="N14" s="86">
        <f>N15*'ALGN(IS)'!N$6</f>
        <v>25.046677263999996</v>
      </c>
      <c r="O14" s="86">
        <f>O15*'ALGN(IS)'!O$6</f>
        <v>27.551344990399997</v>
      </c>
      <c r="P14" s="86">
        <f>P15*'ALGN(IS)'!P$6</f>
        <v>30.306479489439997</v>
      </c>
      <c r="Q14" s="86"/>
      <c r="R14" s="86"/>
      <c r="S14" s="87">
        <v>0.68700000000000105</v>
      </c>
    </row>
    <row r="15" spans="1:19" s="90" customFormat="1" x14ac:dyDescent="0.35">
      <c r="A15" s="88" t="s">
        <v>509</v>
      </c>
      <c r="B15" s="88"/>
      <c r="C15" s="89">
        <f>C14/'ALGN(IS)'!C$6</f>
        <v>-3.360156436841439E-2</v>
      </c>
      <c r="D15" s="89">
        <f>D14/'ALGN(IS)'!D$6</f>
        <v>-2.7340974287443746E-2</v>
      </c>
      <c r="E15" s="89">
        <f>E14/'ALGN(IS)'!E$6</f>
        <v>5.0855977434340907E-2</v>
      </c>
      <c r="F15" s="89">
        <f>F14/'ALGN(IS)'!F$6</f>
        <v>2.736318407960199E-2</v>
      </c>
      <c r="G15" s="89">
        <f>G14/'ALGN(IS)'!G$6</f>
        <v>6.7832434584494561E-2</v>
      </c>
      <c r="H15" s="89">
        <f>H14/'ALGN(IS)'!H$6</f>
        <v>-6.0406291682216116E-3</v>
      </c>
      <c r="I15" s="89">
        <f>I14/'ALGN(IS)'!I$6</f>
        <v>1.9936201730974878E-2</v>
      </c>
      <c r="J15" s="115">
        <f>J14/'ALGN(IS)'!J$6</f>
        <v>1.2071113748649319E-2</v>
      </c>
      <c r="K15" s="125">
        <f>K14/'ALGN(IS)'!K$6</f>
        <v>3.6725622896180421E-2</v>
      </c>
      <c r="L15" s="120">
        <v>0.02</v>
      </c>
      <c r="M15" s="89">
        <v>0.02</v>
      </c>
      <c r="N15" s="89">
        <v>0.02</v>
      </c>
      <c r="O15" s="89">
        <v>0.02</v>
      </c>
      <c r="P15" s="89">
        <v>0.02</v>
      </c>
      <c r="Q15" s="89">
        <f>(K14/G14)^(1/5)-1</f>
        <v>-9.3362537497899689E-3</v>
      </c>
      <c r="R15" s="89">
        <f>AVERAGE(G15:K15)</f>
        <v>2.6104948758415514E-2</v>
      </c>
      <c r="S15" s="89"/>
    </row>
    <row r="16" spans="1:19" x14ac:dyDescent="0.35">
      <c r="A16" s="49" t="s">
        <v>411</v>
      </c>
      <c r="B16" s="49" t="s">
        <v>410</v>
      </c>
      <c r="C16" s="62">
        <v>-10.702999999999999</v>
      </c>
      <c r="D16" s="62">
        <v>-7.9509999999999996</v>
      </c>
      <c r="E16" s="62">
        <v>-2.5859999999999999</v>
      </c>
      <c r="F16" s="62">
        <v>-12.183999999999999</v>
      </c>
      <c r="G16" s="62">
        <v>-21.693000000000001</v>
      </c>
      <c r="H16" s="62">
        <v>-9.1379999999999999</v>
      </c>
      <c r="I16" s="62">
        <v>-11.981</v>
      </c>
      <c r="J16" s="117">
        <v>-27.228999999999999</v>
      </c>
      <c r="K16" s="127">
        <v>-40.774999999999999</v>
      </c>
      <c r="L16" s="122"/>
      <c r="M16" s="62"/>
      <c r="N16" s="62"/>
      <c r="O16" s="62"/>
      <c r="P16" s="62"/>
      <c r="Q16" s="62"/>
      <c r="R16" s="62"/>
      <c r="S16" s="65">
        <v>-106.774000991821</v>
      </c>
    </row>
    <row r="17" spans="1:19" x14ac:dyDescent="0.35">
      <c r="A17" s="49" t="s">
        <v>409</v>
      </c>
      <c r="B17" s="49" t="s">
        <v>408</v>
      </c>
      <c r="C17" s="62">
        <v>0.186</v>
      </c>
      <c r="D17" s="62">
        <v>0.94299999999999995</v>
      </c>
      <c r="E17" s="62">
        <v>-8.5000000000000006E-2</v>
      </c>
      <c r="F17" s="62">
        <v>-0.50800000000000001</v>
      </c>
      <c r="G17" s="62">
        <v>-4.0579999999999998</v>
      </c>
      <c r="H17" s="62">
        <v>-5.718</v>
      </c>
      <c r="I17" s="62">
        <v>1.1579999999999999</v>
      </c>
      <c r="J17" s="117">
        <v>-1.9990000000000001</v>
      </c>
      <c r="K17" s="127">
        <v>-3.5630000000000002</v>
      </c>
      <c r="L17" s="122"/>
      <c r="M17" s="62"/>
      <c r="N17" s="62"/>
      <c r="O17" s="62"/>
      <c r="P17" s="62"/>
      <c r="Q17" s="62"/>
      <c r="R17" s="62"/>
      <c r="S17" s="65">
        <v>-7.4029999306201901</v>
      </c>
    </row>
    <row r="18" spans="1:19" x14ac:dyDescent="0.35">
      <c r="A18" s="49" t="s">
        <v>407</v>
      </c>
      <c r="B18" s="49" t="s">
        <v>406</v>
      </c>
      <c r="C18" s="62">
        <v>2.738</v>
      </c>
      <c r="D18" s="62">
        <v>-2.6509999999999998</v>
      </c>
      <c r="E18" s="62">
        <v>-0.61399999999999999</v>
      </c>
      <c r="F18" s="62">
        <v>2.6120000000000001</v>
      </c>
      <c r="G18" s="62">
        <v>7.5350000000000001</v>
      </c>
      <c r="H18" s="62">
        <v>-6.0000000000000001E-3</v>
      </c>
      <c r="I18" s="62">
        <v>-0.186</v>
      </c>
      <c r="J18" s="117">
        <v>2.887</v>
      </c>
      <c r="K18" s="127">
        <v>7.5750000000000002</v>
      </c>
      <c r="L18" s="122"/>
      <c r="M18" s="62"/>
      <c r="N18" s="62"/>
      <c r="O18" s="62"/>
      <c r="P18" s="62"/>
      <c r="Q18" s="62"/>
      <c r="R18" s="62"/>
      <c r="S18" s="65">
        <v>-0.96700000000000097</v>
      </c>
    </row>
    <row r="19" spans="1:19" x14ac:dyDescent="0.35">
      <c r="A19" s="49" t="s">
        <v>405</v>
      </c>
      <c r="B19" s="49" t="s">
        <v>404</v>
      </c>
      <c r="C19" s="62">
        <v>-1.7749999999999999</v>
      </c>
      <c r="D19" s="62">
        <v>1.3480000000000001</v>
      </c>
      <c r="E19" s="62">
        <v>19.169</v>
      </c>
      <c r="F19" s="62">
        <v>20.672999999999998</v>
      </c>
      <c r="G19" s="62">
        <v>50.758000000000003</v>
      </c>
      <c r="H19" s="62">
        <v>11.478999999999999</v>
      </c>
      <c r="I19" s="62">
        <v>24.170999999999999</v>
      </c>
      <c r="J19" s="117">
        <v>35.534999999999997</v>
      </c>
      <c r="K19" s="127">
        <v>67.813999999999993</v>
      </c>
      <c r="L19" s="122"/>
      <c r="M19" s="62"/>
      <c r="N19" s="62"/>
      <c r="O19" s="62"/>
      <c r="P19" s="62"/>
      <c r="Q19" s="62"/>
      <c r="R19" s="62"/>
      <c r="S19" s="65">
        <v>115.831</v>
      </c>
    </row>
    <row r="20" spans="1:19" x14ac:dyDescent="0.35">
      <c r="A20" s="49" t="s">
        <v>349</v>
      </c>
      <c r="B20" s="49" t="s">
        <v>403</v>
      </c>
      <c r="C20" s="62" t="s">
        <v>33</v>
      </c>
      <c r="D20" s="62" t="s">
        <v>33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117">
        <v>0</v>
      </c>
      <c r="K20" s="127">
        <v>0</v>
      </c>
      <c r="L20" s="122"/>
      <c r="M20" s="62"/>
      <c r="N20" s="62"/>
      <c r="O20" s="62"/>
      <c r="P20" s="62"/>
      <c r="Q20" s="62"/>
      <c r="R20" s="62"/>
      <c r="S20" s="65">
        <v>0</v>
      </c>
    </row>
    <row r="21" spans="1:19" ht="15" thickBot="1" x14ac:dyDescent="0.4">
      <c r="A21" s="48" t="s">
        <v>402</v>
      </c>
      <c r="B21" s="48" t="s">
        <v>401</v>
      </c>
      <c r="C21" s="68">
        <v>52.777000000000001</v>
      </c>
      <c r="D21" s="68">
        <v>39.746000000000002</v>
      </c>
      <c r="E21" s="68">
        <v>74.165000000000006</v>
      </c>
      <c r="F21" s="68">
        <v>129.529</v>
      </c>
      <c r="G21" s="68">
        <v>130.46899999999999</v>
      </c>
      <c r="H21" s="68">
        <v>133.77799999999999</v>
      </c>
      <c r="I21" s="68">
        <v>185.976</v>
      </c>
      <c r="J21" s="118">
        <v>226.899</v>
      </c>
      <c r="K21" s="128">
        <v>237.99700000000001</v>
      </c>
      <c r="L21" s="123"/>
      <c r="M21" s="68"/>
      <c r="N21" s="68"/>
      <c r="O21" s="68"/>
      <c r="P21" s="68"/>
      <c r="Q21" s="68"/>
      <c r="R21" s="68"/>
      <c r="S21" s="71">
        <v>246.029</v>
      </c>
    </row>
    <row r="22" spans="1:19" x14ac:dyDescent="0.35">
      <c r="A22" s="48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0"/>
    </row>
    <row r="23" spans="1:19" x14ac:dyDescent="0.35">
      <c r="A23" s="48" t="s">
        <v>369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0"/>
    </row>
    <row r="24" spans="1:19" x14ac:dyDescent="0.35">
      <c r="A24" s="49" t="s">
        <v>400</v>
      </c>
      <c r="B24" s="49" t="s">
        <v>399</v>
      </c>
      <c r="C24" s="62">
        <v>-7.4290000000000003</v>
      </c>
      <c r="D24" s="62">
        <v>-14.145</v>
      </c>
      <c r="E24" s="62">
        <v>-7.1920000000000002</v>
      </c>
      <c r="F24" s="62">
        <v>-18.030999999999999</v>
      </c>
      <c r="G24" s="62">
        <v>-30.309000000000001</v>
      </c>
      <c r="H24" s="62">
        <v>-38.332999999999998</v>
      </c>
      <c r="I24" s="62">
        <v>-19.411999999999999</v>
      </c>
      <c r="J24" s="62">
        <v>-24.091999999999999</v>
      </c>
      <c r="K24" s="62">
        <v>-53.451000000000001</v>
      </c>
      <c r="L24" s="62"/>
      <c r="M24" s="62"/>
      <c r="N24" s="62"/>
      <c r="O24" s="62"/>
      <c r="P24" s="62"/>
      <c r="Q24" s="62"/>
      <c r="R24" s="62"/>
      <c r="S24" s="65">
        <v>-73.156000000000006</v>
      </c>
    </row>
    <row r="25" spans="1:19" x14ac:dyDescent="0.35">
      <c r="A25" s="49" t="s">
        <v>398</v>
      </c>
      <c r="B25" s="49" t="s">
        <v>397</v>
      </c>
      <c r="C25" s="62">
        <v>0</v>
      </c>
      <c r="D25" s="62">
        <v>0.189</v>
      </c>
      <c r="E25" s="62">
        <v>0</v>
      </c>
      <c r="F25" s="62">
        <v>0</v>
      </c>
      <c r="G25" s="62">
        <v>9.5000000000000001E-2</v>
      </c>
      <c r="H25" s="62">
        <v>0</v>
      </c>
      <c r="I25" s="62">
        <v>0</v>
      </c>
      <c r="J25" s="62">
        <v>0</v>
      </c>
      <c r="K25" s="62">
        <v>0</v>
      </c>
      <c r="L25" s="62"/>
      <c r="M25" s="62"/>
      <c r="N25" s="62"/>
      <c r="O25" s="62"/>
      <c r="P25" s="62"/>
      <c r="Q25" s="62"/>
      <c r="R25" s="62"/>
      <c r="S25" s="65">
        <v>0</v>
      </c>
    </row>
    <row r="26" spans="1:19" x14ac:dyDescent="0.35">
      <c r="A26" s="47" t="s">
        <v>396</v>
      </c>
      <c r="B26" s="47" t="s">
        <v>395</v>
      </c>
      <c r="C26" s="73" t="s">
        <v>33</v>
      </c>
      <c r="D26" s="73" t="s">
        <v>33</v>
      </c>
      <c r="E26" s="73" t="s">
        <v>33</v>
      </c>
      <c r="F26" s="73" t="s">
        <v>33</v>
      </c>
      <c r="G26" s="73">
        <v>9.5000000000000001E-2</v>
      </c>
      <c r="H26" s="73" t="s">
        <v>33</v>
      </c>
      <c r="I26" s="73" t="s">
        <v>33</v>
      </c>
      <c r="J26" s="73" t="s">
        <v>33</v>
      </c>
      <c r="K26" s="73">
        <v>0</v>
      </c>
      <c r="L26" s="73"/>
      <c r="M26" s="73"/>
      <c r="N26" s="73"/>
      <c r="O26" s="73"/>
      <c r="P26" s="73"/>
      <c r="Q26" s="73"/>
      <c r="R26" s="73"/>
      <c r="S26" s="74">
        <v>0</v>
      </c>
    </row>
    <row r="27" spans="1:19" x14ac:dyDescent="0.35">
      <c r="A27" s="47" t="s">
        <v>394</v>
      </c>
      <c r="B27" s="47" t="s">
        <v>393</v>
      </c>
      <c r="C27" s="73" t="s">
        <v>33</v>
      </c>
      <c r="D27" s="73" t="s">
        <v>33</v>
      </c>
      <c r="E27" s="73">
        <v>0</v>
      </c>
      <c r="F27" s="73">
        <v>0</v>
      </c>
      <c r="G27" s="73">
        <v>0</v>
      </c>
      <c r="H27" s="73">
        <v>0</v>
      </c>
      <c r="I27" s="73">
        <v>0</v>
      </c>
      <c r="J27" s="73">
        <v>0</v>
      </c>
      <c r="K27" s="73">
        <v>0</v>
      </c>
      <c r="L27" s="73"/>
      <c r="M27" s="73"/>
      <c r="N27" s="73"/>
      <c r="O27" s="73"/>
      <c r="P27" s="73"/>
      <c r="Q27" s="73"/>
      <c r="R27" s="73"/>
      <c r="S27" s="74">
        <v>0</v>
      </c>
    </row>
    <row r="28" spans="1:19" ht="15" thickBot="1" x14ac:dyDescent="0.4">
      <c r="A28" s="49" t="s">
        <v>392</v>
      </c>
      <c r="B28" s="49" t="s">
        <v>391</v>
      </c>
      <c r="C28" s="62">
        <v>-7.4290000000000003</v>
      </c>
      <c r="D28" s="62">
        <v>-14.334</v>
      </c>
      <c r="E28" s="62">
        <v>-7.1920000000000002</v>
      </c>
      <c r="F28" s="62">
        <v>-18.030999999999999</v>
      </c>
      <c r="G28" s="62">
        <v>-30.404</v>
      </c>
      <c r="H28" s="62">
        <v>-38.332999999999998</v>
      </c>
      <c r="I28" s="62">
        <v>-19.411999999999999</v>
      </c>
      <c r="J28" s="62">
        <v>-24.091999999999999</v>
      </c>
      <c r="K28" s="62">
        <v>-53.451000000000001</v>
      </c>
      <c r="L28" s="62"/>
      <c r="M28" s="62"/>
      <c r="N28" s="62"/>
      <c r="O28" s="62"/>
      <c r="P28" s="62"/>
      <c r="Q28" s="62"/>
      <c r="R28" s="62"/>
      <c r="S28" s="65">
        <v>-73.156000000000006</v>
      </c>
    </row>
    <row r="29" spans="1:19" s="1" customFormat="1" x14ac:dyDescent="0.35">
      <c r="A29" s="91" t="s">
        <v>390</v>
      </c>
      <c r="B29" s="91" t="s">
        <v>389</v>
      </c>
      <c r="C29" s="92" t="s">
        <v>33</v>
      </c>
      <c r="D29" s="92" t="s">
        <v>33</v>
      </c>
      <c r="E29" s="92">
        <v>-7.1920000000000002</v>
      </c>
      <c r="F29" s="92">
        <v>-18.030999999999999</v>
      </c>
      <c r="G29" s="92">
        <v>-30.404</v>
      </c>
      <c r="H29" s="92">
        <v>-38.332999999999998</v>
      </c>
      <c r="I29" s="92">
        <v>-19.411999999999999</v>
      </c>
      <c r="J29" s="114">
        <v>-24.091999999999999</v>
      </c>
      <c r="K29" s="124">
        <v>-53.451000000000001</v>
      </c>
      <c r="L29" s="119">
        <f>L30*'ALGN(IS)'!L$6</f>
        <v>-48.615444999999994</v>
      </c>
      <c r="M29" s="86">
        <f>M30*'ALGN(IS)'!M$6</f>
        <v>-55.907761749999992</v>
      </c>
      <c r="N29" s="86">
        <f>N30*'ALGN(IS)'!N$6</f>
        <v>-62.61669315999999</v>
      </c>
      <c r="O29" s="86">
        <f>O30*'ALGN(IS)'!O$6</f>
        <v>-68.878362475999992</v>
      </c>
      <c r="P29" s="86">
        <f>P30*'ALGN(IS)'!P$6</f>
        <v>-75.766198723599999</v>
      </c>
      <c r="Q29" s="92"/>
      <c r="R29" s="92"/>
      <c r="S29" s="93">
        <v>-73.156000000000006</v>
      </c>
    </row>
    <row r="30" spans="1:19" s="90" customFormat="1" x14ac:dyDescent="0.35">
      <c r="A30" s="88" t="s">
        <v>509</v>
      </c>
      <c r="B30" s="88"/>
      <c r="C30" s="89" t="e">
        <f>C29/'ALGN(IS)'!C$6</f>
        <v>#VALUE!</v>
      </c>
      <c r="D30" s="89" t="e">
        <f>D29/'ALGN(IS)'!D$6</f>
        <v>#VALUE!</v>
      </c>
      <c r="E30" s="89">
        <f>E29/'ALGN(IS)'!E$6</f>
        <v>-2.3026705471403917E-2</v>
      </c>
      <c r="F30" s="89">
        <f>F29/'ALGN(IS)'!F$6</f>
        <v>-4.6576566802539743E-2</v>
      </c>
      <c r="G30" s="89">
        <f>G29/'ALGN(IS)'!G$6</f>
        <v>-6.3375863226199133E-2</v>
      </c>
      <c r="H30" s="89">
        <f>H29/'ALGN(IS)'!H$6</f>
        <v>-6.8446774432586177E-2</v>
      </c>
      <c r="I30" s="89">
        <f>I29/'ALGN(IS)'!I$6</f>
        <v>-2.9402943929621964E-2</v>
      </c>
      <c r="J30" s="115">
        <f>J29/'ALGN(IS)'!J$6</f>
        <v>-3.1631202135355599E-2</v>
      </c>
      <c r="K30" s="125">
        <f>K29/'ALGN(IS)'!K$6</f>
        <v>-6.321926087481046E-2</v>
      </c>
      <c r="L30" s="120">
        <v>-0.05</v>
      </c>
      <c r="M30" s="89">
        <v>-0.05</v>
      </c>
      <c r="N30" s="89">
        <v>-0.05</v>
      </c>
      <c r="O30" s="89">
        <v>-0.05</v>
      </c>
      <c r="P30" s="89">
        <v>-0.05</v>
      </c>
      <c r="Q30" s="89">
        <f>(K29/G29)^(1/5)-1</f>
        <v>0.11945082869540213</v>
      </c>
      <c r="R30" s="89">
        <f>AVERAGE(G30:K30)</f>
        <v>-5.1215208919714664E-2</v>
      </c>
      <c r="S30" s="89"/>
    </row>
    <row r="31" spans="1:19" x14ac:dyDescent="0.35">
      <c r="A31" s="47" t="s">
        <v>388</v>
      </c>
      <c r="B31" s="47" t="s">
        <v>387</v>
      </c>
      <c r="C31" s="73" t="s">
        <v>33</v>
      </c>
      <c r="D31" s="73" t="s">
        <v>33</v>
      </c>
      <c r="E31" s="73">
        <v>0</v>
      </c>
      <c r="F31" s="73">
        <v>0</v>
      </c>
      <c r="G31" s="73">
        <v>0</v>
      </c>
      <c r="H31" s="73">
        <v>0</v>
      </c>
      <c r="I31" s="73">
        <v>0</v>
      </c>
      <c r="J31" s="116">
        <v>0</v>
      </c>
      <c r="K31" s="126">
        <v>0</v>
      </c>
      <c r="L31" s="121"/>
      <c r="M31" s="73"/>
      <c r="N31" s="73"/>
      <c r="O31" s="73"/>
      <c r="P31" s="73"/>
      <c r="Q31" s="73"/>
      <c r="R31" s="73"/>
      <c r="S31" s="74">
        <v>0</v>
      </c>
    </row>
    <row r="32" spans="1:19" x14ac:dyDescent="0.35">
      <c r="A32" s="49" t="s">
        <v>386</v>
      </c>
      <c r="B32" s="49" t="s">
        <v>385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117">
        <v>0</v>
      </c>
      <c r="K32" s="127">
        <v>0</v>
      </c>
      <c r="L32" s="122"/>
      <c r="M32" s="62"/>
      <c r="N32" s="62"/>
      <c r="O32" s="62"/>
      <c r="P32" s="62"/>
      <c r="Q32" s="62"/>
      <c r="R32" s="62"/>
      <c r="S32" s="65">
        <v>0</v>
      </c>
    </row>
    <row r="33" spans="1:19" x14ac:dyDescent="0.35">
      <c r="A33" s="49" t="s">
        <v>384</v>
      </c>
      <c r="B33" s="49" t="s">
        <v>383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117">
        <v>0</v>
      </c>
      <c r="K33" s="127">
        <v>0</v>
      </c>
      <c r="L33" s="122"/>
      <c r="M33" s="62"/>
      <c r="N33" s="62"/>
      <c r="O33" s="62"/>
      <c r="P33" s="62"/>
      <c r="Q33" s="62"/>
      <c r="R33" s="62"/>
      <c r="S33" s="65">
        <v>0</v>
      </c>
    </row>
    <row r="34" spans="1:19" x14ac:dyDescent="0.35">
      <c r="A34" s="49" t="s">
        <v>382</v>
      </c>
      <c r="B34" s="49" t="s">
        <v>381</v>
      </c>
      <c r="C34" s="62">
        <v>0</v>
      </c>
      <c r="D34" s="62">
        <v>0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117">
        <v>0</v>
      </c>
      <c r="K34" s="127">
        <v>0</v>
      </c>
      <c r="L34" s="122"/>
      <c r="M34" s="62"/>
      <c r="N34" s="62"/>
      <c r="O34" s="62"/>
      <c r="P34" s="62"/>
      <c r="Q34" s="62"/>
      <c r="R34" s="62"/>
      <c r="S34" s="65">
        <v>0</v>
      </c>
    </row>
    <row r="35" spans="1:19" x14ac:dyDescent="0.35">
      <c r="A35" s="49" t="s">
        <v>380</v>
      </c>
      <c r="B35" s="49" t="s">
        <v>379</v>
      </c>
      <c r="C35" s="62" t="s">
        <v>33</v>
      </c>
      <c r="D35" s="62" t="s">
        <v>33</v>
      </c>
      <c r="E35" s="62">
        <v>0</v>
      </c>
      <c r="F35" s="62">
        <v>0</v>
      </c>
      <c r="G35" s="62">
        <v>-187.58799999999999</v>
      </c>
      <c r="H35" s="62">
        <v>0</v>
      </c>
      <c r="I35" s="62">
        <v>-7.6520000000000001</v>
      </c>
      <c r="J35" s="117">
        <v>0</v>
      </c>
      <c r="K35" s="127">
        <v>0</v>
      </c>
      <c r="L35" s="122"/>
      <c r="M35" s="62"/>
      <c r="N35" s="62"/>
      <c r="O35" s="62"/>
      <c r="P35" s="62"/>
      <c r="Q35" s="62"/>
      <c r="R35" s="62"/>
      <c r="S35" s="65">
        <v>0</v>
      </c>
    </row>
    <row r="36" spans="1:19" x14ac:dyDescent="0.35">
      <c r="A36" s="49" t="s">
        <v>378</v>
      </c>
      <c r="B36" s="49" t="s">
        <v>377</v>
      </c>
      <c r="C36" s="62" t="s">
        <v>33</v>
      </c>
      <c r="D36" s="62" t="s">
        <v>33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117">
        <v>0</v>
      </c>
      <c r="K36" s="127">
        <v>0</v>
      </c>
      <c r="L36" s="122"/>
      <c r="M36" s="62"/>
      <c r="N36" s="62"/>
      <c r="O36" s="62"/>
      <c r="P36" s="62"/>
      <c r="Q36" s="62"/>
      <c r="R36" s="62"/>
      <c r="S36" s="65">
        <v>0</v>
      </c>
    </row>
    <row r="37" spans="1:19" x14ac:dyDescent="0.35">
      <c r="A37" s="49" t="s">
        <v>376</v>
      </c>
      <c r="B37" s="49" t="s">
        <v>375</v>
      </c>
      <c r="C37" s="62" t="s">
        <v>33</v>
      </c>
      <c r="D37" s="62" t="s">
        <v>33</v>
      </c>
      <c r="E37" s="62">
        <v>0</v>
      </c>
      <c r="F37" s="62">
        <v>0</v>
      </c>
      <c r="G37" s="62">
        <v>-187.58799999999999</v>
      </c>
      <c r="H37" s="62">
        <v>0</v>
      </c>
      <c r="I37" s="62">
        <v>-7.6520000000000001</v>
      </c>
      <c r="J37" s="117">
        <v>0</v>
      </c>
      <c r="K37" s="127">
        <v>0</v>
      </c>
      <c r="L37" s="122"/>
      <c r="M37" s="62"/>
      <c r="N37" s="62"/>
      <c r="O37" s="62"/>
      <c r="P37" s="62"/>
      <c r="Q37" s="62"/>
      <c r="R37" s="62"/>
      <c r="S37" s="65">
        <v>0</v>
      </c>
    </row>
    <row r="38" spans="1:19" x14ac:dyDescent="0.35">
      <c r="A38" s="49" t="s">
        <v>374</v>
      </c>
      <c r="B38" s="49" t="s">
        <v>373</v>
      </c>
      <c r="C38" s="62" t="s">
        <v>33</v>
      </c>
      <c r="D38" s="62" t="s">
        <v>33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117">
        <v>0</v>
      </c>
      <c r="K38" s="127">
        <v>0</v>
      </c>
      <c r="L38" s="122"/>
      <c r="M38" s="62"/>
      <c r="N38" s="62"/>
      <c r="O38" s="62"/>
      <c r="P38" s="62"/>
      <c r="Q38" s="62"/>
      <c r="R38" s="62"/>
      <c r="S38" s="65">
        <v>0</v>
      </c>
    </row>
    <row r="39" spans="1:19" x14ac:dyDescent="0.35">
      <c r="A39" s="49" t="s">
        <v>372</v>
      </c>
      <c r="B39" s="49" t="s">
        <v>371</v>
      </c>
      <c r="C39" s="62">
        <v>-29.35</v>
      </c>
      <c r="D39" s="62">
        <v>13.09</v>
      </c>
      <c r="E39" s="62">
        <v>5.6360000000000001</v>
      </c>
      <c r="F39" s="62">
        <v>2.1110000000000002</v>
      </c>
      <c r="G39" s="62">
        <v>6.2910000000000004</v>
      </c>
      <c r="H39" s="62">
        <v>-39.966999999999999</v>
      </c>
      <c r="I39" s="62">
        <v>-183.67</v>
      </c>
      <c r="J39" s="117">
        <v>-177.535</v>
      </c>
      <c r="K39" s="127">
        <v>-112.91</v>
      </c>
      <c r="L39" s="122"/>
      <c r="M39" s="62"/>
      <c r="N39" s="62"/>
      <c r="O39" s="62"/>
      <c r="P39" s="62"/>
      <c r="Q39" s="62"/>
      <c r="R39" s="62"/>
      <c r="S39" s="65">
        <v>142.279</v>
      </c>
    </row>
    <row r="40" spans="1:19" x14ac:dyDescent="0.35">
      <c r="A40" s="49" t="s">
        <v>349</v>
      </c>
      <c r="B40" s="49" t="s">
        <v>370</v>
      </c>
      <c r="C40" s="62" t="s">
        <v>33</v>
      </c>
      <c r="D40" s="62" t="s">
        <v>33</v>
      </c>
      <c r="E40" s="62">
        <v>0</v>
      </c>
      <c r="F40" s="62">
        <v>0</v>
      </c>
      <c r="G40" s="62">
        <v>0</v>
      </c>
      <c r="H40" s="62">
        <v>0</v>
      </c>
      <c r="I40" s="62">
        <v>0</v>
      </c>
      <c r="J40" s="117">
        <v>0</v>
      </c>
      <c r="K40" s="127">
        <v>0</v>
      </c>
      <c r="L40" s="122"/>
      <c r="M40" s="62"/>
      <c r="N40" s="62"/>
      <c r="O40" s="62"/>
      <c r="P40" s="62"/>
      <c r="Q40" s="62"/>
      <c r="R40" s="62"/>
      <c r="S40" s="65">
        <v>0</v>
      </c>
    </row>
    <row r="41" spans="1:19" ht="15" thickBot="1" x14ac:dyDescent="0.4">
      <c r="A41" s="48" t="s">
        <v>369</v>
      </c>
      <c r="B41" s="48" t="s">
        <v>368</v>
      </c>
      <c r="C41" s="68">
        <v>-36.779000000000003</v>
      </c>
      <c r="D41" s="68">
        <v>-1.0549999999999999</v>
      </c>
      <c r="E41" s="68">
        <v>-1.556</v>
      </c>
      <c r="F41" s="68">
        <v>-15.92</v>
      </c>
      <c r="G41" s="68">
        <v>-211.60599999999999</v>
      </c>
      <c r="H41" s="68">
        <v>-78.3</v>
      </c>
      <c r="I41" s="68">
        <v>-210.73400000000001</v>
      </c>
      <c r="J41" s="118">
        <v>-201.62700000000001</v>
      </c>
      <c r="K41" s="128">
        <v>-166.36099999999999</v>
      </c>
      <c r="L41" s="123"/>
      <c r="M41" s="68"/>
      <c r="N41" s="68"/>
      <c r="O41" s="68"/>
      <c r="P41" s="68"/>
      <c r="Q41" s="68"/>
      <c r="R41" s="68"/>
      <c r="S41" s="71">
        <v>69.122997772216806</v>
      </c>
    </row>
    <row r="42" spans="1:19" x14ac:dyDescent="0.35">
      <c r="A42" s="48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70"/>
    </row>
    <row r="43" spans="1:19" x14ac:dyDescent="0.35">
      <c r="A43" s="48" t="s">
        <v>347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70"/>
    </row>
    <row r="44" spans="1:19" x14ac:dyDescent="0.35">
      <c r="A44" s="49" t="s">
        <v>367</v>
      </c>
      <c r="B44" s="49" t="s">
        <v>366</v>
      </c>
      <c r="C44" s="6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/>
      <c r="M44" s="62"/>
      <c r="N44" s="62"/>
      <c r="O44" s="62"/>
      <c r="P44" s="62"/>
      <c r="Q44" s="62"/>
      <c r="R44" s="62"/>
      <c r="S44" s="65">
        <v>0</v>
      </c>
    </row>
    <row r="45" spans="1:19" x14ac:dyDescent="0.35">
      <c r="A45" s="49" t="s">
        <v>365</v>
      </c>
      <c r="B45" s="49" t="s">
        <v>364</v>
      </c>
      <c r="C45" s="62">
        <v>-11.5</v>
      </c>
      <c r="D45" s="62">
        <v>-0.40699999999999997</v>
      </c>
      <c r="E45" s="62">
        <v>-0.13600000000000001</v>
      </c>
      <c r="F45" s="62">
        <v>0</v>
      </c>
      <c r="G45" s="62">
        <v>0</v>
      </c>
      <c r="H45" s="62">
        <v>0</v>
      </c>
      <c r="I45" s="62">
        <v>0</v>
      </c>
      <c r="J45" s="62">
        <v>0</v>
      </c>
      <c r="K45" s="62">
        <v>0</v>
      </c>
      <c r="L45" s="62"/>
      <c r="M45" s="62"/>
      <c r="N45" s="62"/>
      <c r="O45" s="62"/>
      <c r="P45" s="62"/>
      <c r="Q45" s="62"/>
      <c r="R45" s="62"/>
      <c r="S45" s="65">
        <v>0</v>
      </c>
    </row>
    <row r="46" spans="1:19" x14ac:dyDescent="0.35">
      <c r="A46" s="49" t="s">
        <v>363</v>
      </c>
      <c r="B46" s="49" t="s">
        <v>362</v>
      </c>
      <c r="C46" s="62" t="s">
        <v>33</v>
      </c>
      <c r="D46" s="62" t="s">
        <v>33</v>
      </c>
      <c r="E46" s="62">
        <v>-0.13600000000000001</v>
      </c>
      <c r="F46" s="62" t="s">
        <v>33</v>
      </c>
      <c r="G46" s="62" t="s">
        <v>33</v>
      </c>
      <c r="H46" s="62" t="s">
        <v>33</v>
      </c>
      <c r="I46" s="62" t="s">
        <v>33</v>
      </c>
      <c r="J46" s="62" t="s">
        <v>33</v>
      </c>
      <c r="K46" s="62">
        <v>0</v>
      </c>
      <c r="L46" s="62"/>
      <c r="M46" s="62"/>
      <c r="N46" s="62"/>
      <c r="O46" s="62"/>
      <c r="P46" s="62"/>
      <c r="Q46" s="62"/>
      <c r="R46" s="62"/>
      <c r="S46" s="65">
        <v>0</v>
      </c>
    </row>
    <row r="47" spans="1:19" x14ac:dyDescent="0.35">
      <c r="A47" s="49" t="s">
        <v>361</v>
      </c>
      <c r="B47" s="49" t="s">
        <v>360</v>
      </c>
      <c r="C47" s="62" t="s">
        <v>33</v>
      </c>
      <c r="D47" s="62" t="s">
        <v>33</v>
      </c>
      <c r="E47" s="62" t="s">
        <v>33</v>
      </c>
      <c r="F47" s="62" t="s">
        <v>33</v>
      </c>
      <c r="G47" s="62" t="s">
        <v>33</v>
      </c>
      <c r="H47" s="62" t="s">
        <v>33</v>
      </c>
      <c r="I47" s="62" t="s">
        <v>33</v>
      </c>
      <c r="J47" s="62" t="s">
        <v>33</v>
      </c>
      <c r="K47" s="62">
        <v>0</v>
      </c>
      <c r="L47" s="62"/>
      <c r="M47" s="62"/>
      <c r="N47" s="62"/>
      <c r="O47" s="62"/>
      <c r="P47" s="62"/>
      <c r="Q47" s="62"/>
      <c r="R47" s="62"/>
      <c r="S47" s="65">
        <v>0</v>
      </c>
    </row>
    <row r="48" spans="1:19" ht="15" thickBot="1" x14ac:dyDescent="0.4">
      <c r="A48" s="49" t="s">
        <v>359</v>
      </c>
      <c r="B48" s="49" t="s">
        <v>358</v>
      </c>
      <c r="C48" s="62" t="s">
        <v>33</v>
      </c>
      <c r="D48" s="62" t="s">
        <v>33</v>
      </c>
      <c r="E48" s="62" t="s">
        <v>33</v>
      </c>
      <c r="F48" s="62" t="s">
        <v>33</v>
      </c>
      <c r="G48" s="62" t="s">
        <v>33</v>
      </c>
      <c r="H48" s="62" t="s">
        <v>33</v>
      </c>
      <c r="I48" s="62" t="s">
        <v>33</v>
      </c>
      <c r="J48" s="62" t="s">
        <v>33</v>
      </c>
      <c r="K48" s="62">
        <v>0</v>
      </c>
      <c r="L48" s="62"/>
      <c r="M48" s="62"/>
      <c r="N48" s="62"/>
      <c r="O48" s="62"/>
      <c r="P48" s="62"/>
      <c r="Q48" s="62"/>
      <c r="R48" s="62"/>
      <c r="S48" s="65">
        <v>0</v>
      </c>
    </row>
    <row r="49" spans="1:19" s="157" customFormat="1" x14ac:dyDescent="0.35">
      <c r="A49" s="151" t="s">
        <v>357</v>
      </c>
      <c r="B49" s="151" t="s">
        <v>356</v>
      </c>
      <c r="C49" s="152">
        <v>29.442</v>
      </c>
      <c r="D49" s="152">
        <v>-39.488</v>
      </c>
      <c r="E49" s="152">
        <v>7.46</v>
      </c>
      <c r="F49" s="152">
        <v>15.787000000000001</v>
      </c>
      <c r="G49" s="152">
        <v>29.138000000000002</v>
      </c>
      <c r="H49" s="152">
        <v>12.311</v>
      </c>
      <c r="I49" s="152">
        <v>-33.808</v>
      </c>
      <c r="J49" s="153">
        <v>-58.811999999999998</v>
      </c>
      <c r="K49" s="154">
        <v>-80.069999999999993</v>
      </c>
      <c r="L49" s="155"/>
      <c r="M49" s="152"/>
      <c r="N49" s="152"/>
      <c r="O49" s="152"/>
      <c r="P49" s="152"/>
      <c r="Q49" s="152"/>
      <c r="R49" s="152"/>
      <c r="S49" s="156">
        <v>-40.042999999999999</v>
      </c>
    </row>
    <row r="50" spans="1:19" x14ac:dyDescent="0.35">
      <c r="A50" s="49" t="s">
        <v>355</v>
      </c>
      <c r="B50" s="49" t="s">
        <v>354</v>
      </c>
      <c r="C50" s="62">
        <v>29.442</v>
      </c>
      <c r="D50" s="62">
        <v>10.65</v>
      </c>
      <c r="E50" s="62">
        <v>7.46</v>
      </c>
      <c r="F50" s="62">
        <v>15.787000000000001</v>
      </c>
      <c r="G50" s="62">
        <v>36.892000000000003</v>
      </c>
      <c r="H50" s="62">
        <v>59.514000000000003</v>
      </c>
      <c r="I50" s="62">
        <v>61.298999999999999</v>
      </c>
      <c r="J50" s="117">
        <v>39.420999999999999</v>
      </c>
      <c r="K50" s="127">
        <v>21.721</v>
      </c>
      <c r="L50" s="122"/>
      <c r="M50" s="62"/>
      <c r="N50" s="62"/>
      <c r="O50" s="62"/>
      <c r="P50" s="62"/>
      <c r="Q50" s="62"/>
      <c r="R50" s="62"/>
      <c r="S50" s="65">
        <v>29.318999477386502</v>
      </c>
    </row>
    <row r="51" spans="1:19" x14ac:dyDescent="0.35">
      <c r="A51" s="49" t="s">
        <v>353</v>
      </c>
      <c r="B51" s="49" t="s">
        <v>352</v>
      </c>
      <c r="C51" s="62">
        <v>0</v>
      </c>
      <c r="D51" s="62">
        <v>-50.137999999999998</v>
      </c>
      <c r="E51" s="62">
        <v>0</v>
      </c>
      <c r="F51" s="62">
        <v>0</v>
      </c>
      <c r="G51" s="62">
        <v>-7.7539999999999996</v>
      </c>
      <c r="H51" s="62">
        <v>-47.203000000000003</v>
      </c>
      <c r="I51" s="62">
        <v>-95.106999999999999</v>
      </c>
      <c r="J51" s="117">
        <v>-98.233000000000004</v>
      </c>
      <c r="K51" s="127">
        <v>-101.791</v>
      </c>
      <c r="L51" s="122"/>
      <c r="M51" s="62"/>
      <c r="N51" s="62"/>
      <c r="O51" s="62"/>
      <c r="P51" s="62"/>
      <c r="Q51" s="62"/>
      <c r="R51" s="62"/>
      <c r="S51" s="65">
        <v>-69.361999725341803</v>
      </c>
    </row>
    <row r="52" spans="1:19" x14ac:dyDescent="0.35">
      <c r="A52" s="49" t="s">
        <v>351</v>
      </c>
      <c r="B52" s="49" t="s">
        <v>350</v>
      </c>
      <c r="C52" s="62" t="s">
        <v>33</v>
      </c>
      <c r="D52" s="62" t="s">
        <v>33</v>
      </c>
      <c r="E52" s="62">
        <v>-0.48699999999999999</v>
      </c>
      <c r="F52" s="62">
        <v>-1.08</v>
      </c>
      <c r="G52" s="62">
        <v>-1.897</v>
      </c>
      <c r="H52" s="62">
        <v>-2.1059999999999999</v>
      </c>
      <c r="I52" s="62">
        <v>-4.3630000000000004</v>
      </c>
      <c r="J52" s="117">
        <v>-7.6079999999999997</v>
      </c>
      <c r="K52" s="127">
        <v>-20.716000000000001</v>
      </c>
      <c r="L52" s="122"/>
      <c r="M52" s="62"/>
      <c r="N52" s="62"/>
      <c r="O52" s="62"/>
      <c r="P52" s="62"/>
      <c r="Q52" s="62"/>
      <c r="R52" s="62"/>
      <c r="S52" s="65">
        <v>-29.407</v>
      </c>
    </row>
    <row r="53" spans="1:19" x14ac:dyDescent="0.35">
      <c r="A53" s="49" t="s">
        <v>349</v>
      </c>
      <c r="B53" s="49" t="s">
        <v>348</v>
      </c>
      <c r="C53" s="62" t="s">
        <v>33</v>
      </c>
      <c r="D53" s="62" t="s">
        <v>33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117">
        <v>0</v>
      </c>
      <c r="K53" s="127">
        <v>0</v>
      </c>
      <c r="L53" s="122"/>
      <c r="M53" s="62"/>
      <c r="N53" s="62"/>
      <c r="O53" s="62"/>
      <c r="P53" s="62"/>
      <c r="Q53" s="62"/>
      <c r="R53" s="62"/>
      <c r="S53" s="65">
        <v>0</v>
      </c>
    </row>
    <row r="54" spans="1:19" ht="15" thickBot="1" x14ac:dyDescent="0.4">
      <c r="A54" s="48" t="s">
        <v>347</v>
      </c>
      <c r="B54" s="48" t="s">
        <v>346</v>
      </c>
      <c r="C54" s="68">
        <v>18.007999999999999</v>
      </c>
      <c r="D54" s="68">
        <v>-40.71</v>
      </c>
      <c r="E54" s="68">
        <v>6.8369999999999997</v>
      </c>
      <c r="F54" s="68">
        <v>14.707000000000001</v>
      </c>
      <c r="G54" s="68">
        <v>27.241</v>
      </c>
      <c r="H54" s="68">
        <v>10.205</v>
      </c>
      <c r="I54" s="68">
        <v>-38.170999999999999</v>
      </c>
      <c r="J54" s="118">
        <v>-66.42</v>
      </c>
      <c r="K54" s="128">
        <v>-100.786</v>
      </c>
      <c r="L54" s="123"/>
      <c r="M54" s="68"/>
      <c r="N54" s="68"/>
      <c r="O54" s="68"/>
      <c r="P54" s="68"/>
      <c r="Q54" s="68"/>
      <c r="R54" s="68"/>
      <c r="S54" s="71">
        <v>-69.45</v>
      </c>
    </row>
    <row r="55" spans="1:19" x14ac:dyDescent="0.35">
      <c r="A55" s="48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70"/>
    </row>
    <row r="56" spans="1:19" x14ac:dyDescent="0.35">
      <c r="A56" s="49" t="s">
        <v>345</v>
      </c>
      <c r="B56" s="49" t="s">
        <v>344</v>
      </c>
      <c r="C56" s="62" t="s">
        <v>33</v>
      </c>
      <c r="D56" s="62" t="s">
        <v>33</v>
      </c>
      <c r="E56" s="62">
        <v>-5.8999999999999997E-2</v>
      </c>
      <c r="F56" s="62">
        <v>-0.13900000000000001</v>
      </c>
      <c r="G56" s="62">
        <v>-9.2999999999999999E-2</v>
      </c>
      <c r="H56" s="62">
        <v>2.8000000000000001E-2</v>
      </c>
      <c r="I56" s="62">
        <v>-0.504</v>
      </c>
      <c r="J56" s="62">
        <v>-1.9339999999999999</v>
      </c>
      <c r="K56" s="62">
        <v>-3.0070000000000001</v>
      </c>
      <c r="L56" s="62"/>
      <c r="M56" s="62"/>
      <c r="N56" s="62"/>
      <c r="O56" s="62"/>
      <c r="P56" s="62"/>
      <c r="Q56" s="62"/>
      <c r="R56" s="62"/>
      <c r="S56" s="65">
        <v>0.20599999999999999</v>
      </c>
    </row>
    <row r="57" spans="1:19" x14ac:dyDescent="0.35">
      <c r="A57" s="48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70"/>
    </row>
    <row r="58" spans="1:19" x14ac:dyDescent="0.35">
      <c r="A58" s="48" t="s">
        <v>343</v>
      </c>
      <c r="B58" s="48" t="s">
        <v>342</v>
      </c>
      <c r="C58" s="68">
        <v>34.006</v>
      </c>
      <c r="D58" s="68">
        <v>-2.0190000000000001</v>
      </c>
      <c r="E58" s="68">
        <v>79.387</v>
      </c>
      <c r="F58" s="68">
        <v>128.17699999999999</v>
      </c>
      <c r="G58" s="68">
        <v>-53.988999999999997</v>
      </c>
      <c r="H58" s="68">
        <v>65.710999999999999</v>
      </c>
      <c r="I58" s="68">
        <v>-63.433</v>
      </c>
      <c r="J58" s="68">
        <v>-43.082000000000001</v>
      </c>
      <c r="K58" s="68">
        <v>-32.156999999999996</v>
      </c>
      <c r="L58" s="68"/>
      <c r="M58" s="68"/>
      <c r="N58" s="68"/>
      <c r="O58" s="68"/>
      <c r="P58" s="68"/>
      <c r="Q58" s="68"/>
      <c r="R58" s="68"/>
      <c r="S58" s="71">
        <v>245.90800036621101</v>
      </c>
    </row>
    <row r="59" spans="1:19" x14ac:dyDescent="0.35">
      <c r="A59" s="48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70"/>
    </row>
    <row r="60" spans="1:19" x14ac:dyDescent="0.35">
      <c r="A60" s="48" t="s">
        <v>341</v>
      </c>
      <c r="B60" s="48" t="s">
        <v>340</v>
      </c>
      <c r="C60" s="68">
        <v>1.6319999999999999</v>
      </c>
      <c r="D60" s="68">
        <v>1.51</v>
      </c>
      <c r="E60" s="68">
        <v>2.004</v>
      </c>
      <c r="F60" s="68">
        <v>1.8939999999999999</v>
      </c>
      <c r="G60" s="68">
        <v>5.0999999999999997E-2</v>
      </c>
      <c r="H60" s="68">
        <v>2.8250000000000002</v>
      </c>
      <c r="I60" s="68">
        <v>4.125</v>
      </c>
      <c r="J60" s="68">
        <v>5.6660000000000004</v>
      </c>
      <c r="K60" s="68">
        <v>40.621000000000002</v>
      </c>
      <c r="L60" s="68"/>
      <c r="M60" s="68"/>
      <c r="N60" s="68"/>
      <c r="O60" s="68"/>
      <c r="P60" s="68"/>
      <c r="Q60" s="68"/>
      <c r="R60" s="68"/>
      <c r="S60" s="71"/>
    </row>
    <row r="61" spans="1:19" x14ac:dyDescent="0.35">
      <c r="A61" s="48" t="s">
        <v>339</v>
      </c>
      <c r="B61" s="48" t="s">
        <v>338</v>
      </c>
      <c r="C61" s="68">
        <v>0.41499999999999998</v>
      </c>
      <c r="D61" s="68">
        <v>0</v>
      </c>
      <c r="E61" s="68">
        <v>8.4000000000000005E-2</v>
      </c>
      <c r="F61" s="68">
        <v>1.9E-2</v>
      </c>
      <c r="G61" s="68">
        <v>1.9530000000000001</v>
      </c>
      <c r="H61" s="68">
        <v>2.7E-2</v>
      </c>
      <c r="I61" s="68" t="s">
        <v>33</v>
      </c>
      <c r="J61" s="68" t="s">
        <v>33</v>
      </c>
      <c r="K61" s="68" t="s">
        <v>33</v>
      </c>
      <c r="L61" s="68"/>
      <c r="M61" s="68"/>
      <c r="N61" s="68"/>
      <c r="O61" s="68"/>
      <c r="P61" s="68"/>
      <c r="Q61" s="68"/>
      <c r="R61" s="68"/>
      <c r="S61" s="71"/>
    </row>
    <row r="62" spans="1:19" x14ac:dyDescent="0.35">
      <c r="A62" s="48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70"/>
    </row>
    <row r="63" spans="1:19" x14ac:dyDescent="0.35">
      <c r="A63" s="48" t="s">
        <v>2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70"/>
    </row>
    <row r="64" spans="1:19" x14ac:dyDescent="0.35">
      <c r="A64" s="49" t="s">
        <v>139</v>
      </c>
      <c r="B64" s="49" t="s">
        <v>139</v>
      </c>
      <c r="C64" s="62">
        <v>45.444000000000003</v>
      </c>
      <c r="D64" s="62">
        <v>34.536000000000001</v>
      </c>
      <c r="E64" s="62">
        <v>-21.007999999999999</v>
      </c>
      <c r="F64" s="62">
        <v>116.92</v>
      </c>
      <c r="G64" s="62">
        <v>107.837</v>
      </c>
      <c r="H64" s="62">
        <v>103.40300000000001</v>
      </c>
      <c r="I64" s="62">
        <v>111.03700000000001</v>
      </c>
      <c r="J64" s="62">
        <v>211.43199999999999</v>
      </c>
      <c r="K64" s="62">
        <v>206.63800000000001</v>
      </c>
      <c r="L64" s="62"/>
      <c r="M64" s="62"/>
      <c r="N64" s="62"/>
      <c r="O64" s="62"/>
      <c r="P64" s="62"/>
      <c r="Q64" s="62"/>
      <c r="R64" s="62"/>
      <c r="S64" s="65">
        <v>261.53699999999998</v>
      </c>
    </row>
    <row r="65" spans="1:19" x14ac:dyDescent="0.35">
      <c r="A65" s="49" t="s">
        <v>337</v>
      </c>
      <c r="B65" s="49" t="s">
        <v>141</v>
      </c>
      <c r="C65" s="63">
        <v>15.982723999999999</v>
      </c>
      <c r="D65" s="63">
        <v>11.361423</v>
      </c>
      <c r="E65" s="63">
        <v>-6.7261540000000002</v>
      </c>
      <c r="F65" s="63">
        <v>30.202052999999999</v>
      </c>
      <c r="G65" s="63">
        <v>22.478171</v>
      </c>
      <c r="H65" s="63">
        <v>18.463470000000001</v>
      </c>
      <c r="I65" s="63">
        <v>16.818538</v>
      </c>
      <c r="J65" s="63">
        <v>27.759623000000001</v>
      </c>
      <c r="K65" s="63">
        <v>24.440144</v>
      </c>
      <c r="L65" s="63"/>
      <c r="M65" s="63"/>
      <c r="N65" s="63"/>
      <c r="O65" s="63"/>
      <c r="P65" s="63"/>
      <c r="Q65" s="63"/>
      <c r="R65" s="63"/>
      <c r="S65" s="66">
        <v>25.7178594361358</v>
      </c>
    </row>
    <row r="66" spans="1:19" x14ac:dyDescent="0.35">
      <c r="A66" s="49" t="s">
        <v>336</v>
      </c>
      <c r="B66" s="49" t="s">
        <v>335</v>
      </c>
      <c r="C66" s="62" t="s">
        <v>33</v>
      </c>
      <c r="D66" s="62" t="s">
        <v>33</v>
      </c>
      <c r="E66" s="62" t="s">
        <v>33</v>
      </c>
      <c r="F66" s="62" t="s">
        <v>33</v>
      </c>
      <c r="G66" s="62">
        <v>187.58799999999999</v>
      </c>
      <c r="H66" s="62" t="s">
        <v>33</v>
      </c>
      <c r="I66" s="62">
        <v>7.6520000000000001</v>
      </c>
      <c r="J66" s="62">
        <v>0</v>
      </c>
      <c r="K66" s="62">
        <v>0</v>
      </c>
      <c r="L66" s="62"/>
      <c r="M66" s="62"/>
      <c r="N66" s="62"/>
      <c r="O66" s="62"/>
      <c r="P66" s="62"/>
      <c r="Q66" s="62"/>
      <c r="R66" s="62"/>
      <c r="S66" s="65">
        <v>0</v>
      </c>
    </row>
    <row r="67" spans="1:19" x14ac:dyDescent="0.35">
      <c r="A67" s="49" t="s">
        <v>334</v>
      </c>
      <c r="B67" s="49" t="s">
        <v>333</v>
      </c>
      <c r="C67" s="62">
        <v>0.44900000000000001</v>
      </c>
      <c r="D67" s="62">
        <v>0.14399999999999999</v>
      </c>
      <c r="E67" s="62">
        <v>-0.63700000000000001</v>
      </c>
      <c r="F67" s="62">
        <v>3.9649999999999999</v>
      </c>
      <c r="G67" s="62">
        <v>11.391</v>
      </c>
      <c r="H67" s="62">
        <v>17.187000000000001</v>
      </c>
      <c r="I67" s="62">
        <v>27.103000000000002</v>
      </c>
      <c r="J67" s="62">
        <v>21.393000000000001</v>
      </c>
      <c r="K67" s="62">
        <v>10.396000000000001</v>
      </c>
      <c r="L67" s="62"/>
      <c r="M67" s="62"/>
      <c r="N67" s="62"/>
      <c r="O67" s="62"/>
      <c r="P67" s="62"/>
      <c r="Q67" s="62"/>
      <c r="R67" s="62"/>
      <c r="S67" s="65">
        <v>15.6759998283386</v>
      </c>
    </row>
    <row r="68" spans="1:19" x14ac:dyDescent="0.35">
      <c r="A68" s="49" t="s">
        <v>332</v>
      </c>
      <c r="B68" s="49" t="s">
        <v>331</v>
      </c>
      <c r="C68" s="62">
        <v>45.347999999999999</v>
      </c>
      <c r="D68" s="62">
        <v>25.411999999999999</v>
      </c>
      <c r="E68" s="62">
        <v>66.972999999999999</v>
      </c>
      <c r="F68" s="62">
        <v>111.498</v>
      </c>
      <c r="G68" s="62">
        <v>100.065</v>
      </c>
      <c r="H68" s="62">
        <v>95.444999999999993</v>
      </c>
      <c r="I68" s="62">
        <v>166.56399999999999</v>
      </c>
      <c r="J68" s="62">
        <v>202.80699999999999</v>
      </c>
      <c r="K68" s="62">
        <v>184.54599999999999</v>
      </c>
      <c r="L68" s="62"/>
      <c r="M68" s="62"/>
      <c r="N68" s="62"/>
      <c r="O68" s="62"/>
      <c r="P68" s="62"/>
      <c r="Q68" s="62"/>
      <c r="R68" s="62"/>
      <c r="S68" s="65">
        <v>172.87299999999999</v>
      </c>
    </row>
    <row r="69" spans="1:19" x14ac:dyDescent="0.35">
      <c r="A69" s="49" t="s">
        <v>330</v>
      </c>
      <c r="B69" s="49" t="s">
        <v>329</v>
      </c>
      <c r="C69" s="62">
        <v>45.678652</v>
      </c>
      <c r="D69" s="62" t="s">
        <v>33</v>
      </c>
      <c r="E69" s="62" t="s">
        <v>33</v>
      </c>
      <c r="F69" s="62">
        <v>111.511831</v>
      </c>
      <c r="G69" s="62">
        <v>100.10283099999999</v>
      </c>
      <c r="H69" s="62" t="s">
        <v>33</v>
      </c>
      <c r="I69" s="62" t="s">
        <v>33</v>
      </c>
      <c r="J69" s="62" t="s">
        <v>33</v>
      </c>
      <c r="K69" s="62" t="s">
        <v>33</v>
      </c>
      <c r="L69" s="62"/>
      <c r="M69" s="62"/>
      <c r="N69" s="62"/>
      <c r="O69" s="62"/>
      <c r="P69" s="62"/>
      <c r="Q69" s="62"/>
      <c r="R69" s="62"/>
      <c r="S69" s="65"/>
    </row>
    <row r="70" spans="1:19" x14ac:dyDescent="0.35">
      <c r="A70" s="49" t="s">
        <v>328</v>
      </c>
      <c r="B70" s="49" t="s">
        <v>327</v>
      </c>
      <c r="C70" s="62">
        <v>33.847999999999999</v>
      </c>
      <c r="D70" s="62">
        <v>25.193999999999999</v>
      </c>
      <c r="E70" s="62">
        <v>66.837000000000003</v>
      </c>
      <c r="F70" s="62">
        <v>111.498</v>
      </c>
      <c r="G70" s="62">
        <v>100.16</v>
      </c>
      <c r="H70" s="62">
        <v>95.444999999999993</v>
      </c>
      <c r="I70" s="62">
        <v>166.56399999999999</v>
      </c>
      <c r="J70" s="62">
        <v>202.80699999999999</v>
      </c>
      <c r="K70" s="62">
        <v>184.54599999999999</v>
      </c>
      <c r="L70" s="62"/>
      <c r="M70" s="62"/>
      <c r="N70" s="62"/>
      <c r="O70" s="62"/>
      <c r="P70" s="62"/>
      <c r="Q70" s="62"/>
      <c r="R70" s="62"/>
      <c r="S70" s="65">
        <v>172.87299999999999</v>
      </c>
    </row>
    <row r="71" spans="1:19" x14ac:dyDescent="0.35">
      <c r="A71" s="49" t="s">
        <v>326</v>
      </c>
      <c r="B71" s="49" t="s">
        <v>325</v>
      </c>
      <c r="C71" s="63">
        <v>0.67506299999999997</v>
      </c>
      <c r="D71" s="63">
        <v>0.38035099999999999</v>
      </c>
      <c r="E71" s="63">
        <v>0.96930300000000003</v>
      </c>
      <c r="F71" s="63">
        <v>1.4704649999999999</v>
      </c>
      <c r="G71" s="63">
        <v>1.2830820000000001</v>
      </c>
      <c r="H71" s="63">
        <v>1.185225</v>
      </c>
      <c r="I71" s="63">
        <v>2.0678079999999999</v>
      </c>
      <c r="J71" s="63">
        <v>2.5114169999999998</v>
      </c>
      <c r="K71" s="63">
        <v>2.306883</v>
      </c>
      <c r="L71" s="63"/>
      <c r="M71" s="63"/>
      <c r="N71" s="63"/>
      <c r="O71" s="63"/>
      <c r="P71" s="63"/>
      <c r="Q71" s="63"/>
      <c r="R71" s="63"/>
      <c r="S71" s="66">
        <v>2.1668886300988199</v>
      </c>
    </row>
    <row r="72" spans="1:19" x14ac:dyDescent="0.35">
      <c r="A72" s="49" t="s">
        <v>324</v>
      </c>
      <c r="B72" s="49" t="s">
        <v>323</v>
      </c>
      <c r="C72" s="63">
        <v>24.708822000000001</v>
      </c>
      <c r="D72" s="63">
        <v>23.005075999999999</v>
      </c>
      <c r="E72" s="63">
        <v>18.384350000000001</v>
      </c>
      <c r="F72" s="63">
        <v>13.288315000000001</v>
      </c>
      <c r="G72" s="63">
        <v>18.490634</v>
      </c>
      <c r="H72" s="63">
        <v>23.413271999999999</v>
      </c>
      <c r="I72" s="63">
        <v>27.633127000000002</v>
      </c>
      <c r="J72" s="63">
        <v>22.262329000000001</v>
      </c>
      <c r="K72" s="63">
        <v>28.545014999999999</v>
      </c>
      <c r="L72" s="63"/>
      <c r="M72" s="63"/>
      <c r="N72" s="63"/>
      <c r="O72" s="63"/>
      <c r="P72" s="63"/>
      <c r="Q72" s="63"/>
      <c r="R72" s="63"/>
      <c r="S72" s="66">
        <v>43.384787215364803</v>
      </c>
    </row>
    <row r="73" spans="1:19" x14ac:dyDescent="0.35">
      <c r="A73" s="49" t="s">
        <v>322</v>
      </c>
      <c r="B73" s="49" t="s">
        <v>321</v>
      </c>
      <c r="C73" s="63">
        <v>1.4773540000000001</v>
      </c>
      <c r="D73" s="63">
        <v>0.49690600000000001</v>
      </c>
      <c r="E73" s="63" t="s">
        <v>33</v>
      </c>
      <c r="F73" s="63">
        <v>1.7444280000000001</v>
      </c>
      <c r="G73" s="63">
        <v>1.9555880000000001</v>
      </c>
      <c r="H73" s="63">
        <v>2.2793610000000002</v>
      </c>
      <c r="I73" s="63">
        <v>2.8925420000000002</v>
      </c>
      <c r="J73" s="63">
        <v>1.555893</v>
      </c>
      <c r="K73" s="63">
        <v>1.6525270000000001</v>
      </c>
      <c r="L73" s="63"/>
      <c r="M73" s="63"/>
      <c r="N73" s="63"/>
      <c r="O73" s="63"/>
      <c r="P73" s="63"/>
      <c r="Q73" s="63"/>
      <c r="R73" s="63"/>
      <c r="S73" s="66">
        <v>1.16469717912278</v>
      </c>
    </row>
    <row r="74" spans="1:19" x14ac:dyDescent="0.35">
      <c r="A74" s="56" t="s">
        <v>164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2"/>
  <sheetViews>
    <sheetView topLeftCell="A22" zoomScale="70" zoomScaleNormal="70" workbookViewId="0">
      <selection activeCell="A52" activeCellId="4" sqref="Q84 A37:XFD37 A22:XFD22 A64:XFD64 A52:XFD52"/>
    </sheetView>
  </sheetViews>
  <sheetFormatPr defaultRowHeight="14.5" x14ac:dyDescent="0.35"/>
  <cols>
    <col min="1" max="1" width="35.1796875" customWidth="1"/>
    <col min="2" max="2" width="0" hidden="1" customWidth="1"/>
    <col min="3" max="14" width="11.81640625" customWidth="1"/>
  </cols>
  <sheetData>
    <row r="1" spans="1:14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" x14ac:dyDescent="0.35">
      <c r="A2" s="57" t="s">
        <v>320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x14ac:dyDescent="0.35">
      <c r="A4" s="43" t="s">
        <v>4</v>
      </c>
      <c r="B4" s="43"/>
      <c r="C4" s="44" t="s">
        <v>448</v>
      </c>
      <c r="D4" s="44" t="s">
        <v>447</v>
      </c>
      <c r="E4" s="44" t="s">
        <v>446</v>
      </c>
      <c r="F4" s="44" t="s">
        <v>445</v>
      </c>
      <c r="G4" s="44" t="s">
        <v>444</v>
      </c>
      <c r="H4" s="44" t="s">
        <v>443</v>
      </c>
      <c r="I4" s="44" t="s">
        <v>442</v>
      </c>
      <c r="J4" s="44" t="s">
        <v>441</v>
      </c>
      <c r="K4" s="44" t="s">
        <v>440</v>
      </c>
      <c r="L4" s="44" t="s">
        <v>439</v>
      </c>
      <c r="M4" s="44" t="s">
        <v>438</v>
      </c>
      <c r="N4" s="44" t="s">
        <v>437</v>
      </c>
    </row>
    <row r="5" spans="1:14" x14ac:dyDescent="0.35">
      <c r="A5" s="45" t="s">
        <v>436</v>
      </c>
      <c r="B5" s="45"/>
      <c r="C5" s="46" t="s">
        <v>24</v>
      </c>
      <c r="D5" s="46" t="s">
        <v>435</v>
      </c>
      <c r="E5" s="46" t="s">
        <v>434</v>
      </c>
      <c r="F5" s="46" t="s">
        <v>433</v>
      </c>
      <c r="G5" s="46" t="s">
        <v>25</v>
      </c>
      <c r="H5" s="46" t="s">
        <v>432</v>
      </c>
      <c r="I5" s="46" t="s">
        <v>431</v>
      </c>
      <c r="J5" s="46" t="s">
        <v>430</v>
      </c>
      <c r="K5" s="46" t="s">
        <v>26</v>
      </c>
      <c r="L5" s="46" t="s">
        <v>429</v>
      </c>
      <c r="M5" s="46" t="s">
        <v>428</v>
      </c>
      <c r="N5" s="46" t="s">
        <v>27</v>
      </c>
    </row>
    <row r="6" spans="1:14" x14ac:dyDescent="0.35">
      <c r="A6" s="48" t="s">
        <v>263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4" s="1" customFormat="1" x14ac:dyDescent="0.35">
      <c r="A7" s="85" t="s">
        <v>319</v>
      </c>
      <c r="B7" s="85" t="s">
        <v>318</v>
      </c>
      <c r="C7" s="86">
        <v>369.99299999999999</v>
      </c>
      <c r="D7" s="86">
        <v>366.44299999999998</v>
      </c>
      <c r="E7" s="86">
        <v>365.53</v>
      </c>
      <c r="F7" s="86">
        <v>425.49599999999998</v>
      </c>
      <c r="G7" s="86">
        <v>454.65800000000002</v>
      </c>
      <c r="H7" s="86">
        <v>444.80099999999999</v>
      </c>
      <c r="I7" s="86">
        <v>438.54199999999997</v>
      </c>
      <c r="J7" s="86">
        <v>484.755</v>
      </c>
      <c r="K7" s="86">
        <v>527.29499999999996</v>
      </c>
      <c r="L7" s="86">
        <v>548.07799999999997</v>
      </c>
      <c r="M7" s="86">
        <v>571.81299999999999</v>
      </c>
      <c r="N7" s="86">
        <v>612.96600000000001</v>
      </c>
    </row>
    <row r="8" spans="1:14" x14ac:dyDescent="0.35">
      <c r="A8" s="49" t="s">
        <v>317</v>
      </c>
      <c r="B8" s="49" t="s">
        <v>316</v>
      </c>
      <c r="C8" s="62">
        <v>242.953</v>
      </c>
      <c r="D8" s="62">
        <v>182.76599999999999</v>
      </c>
      <c r="E8" s="62">
        <v>167.471</v>
      </c>
      <c r="F8" s="62">
        <v>180.67599999999999</v>
      </c>
      <c r="G8" s="62">
        <v>199.87100000000001</v>
      </c>
      <c r="H8" s="62">
        <v>189.97800000000001</v>
      </c>
      <c r="I8" s="62">
        <v>161.75299999999999</v>
      </c>
      <c r="J8" s="62">
        <v>174.04</v>
      </c>
      <c r="K8" s="62">
        <v>167.714</v>
      </c>
      <c r="L8" s="62">
        <v>154.41800000000001</v>
      </c>
      <c r="M8" s="62">
        <v>167.70599999999999</v>
      </c>
      <c r="N8" s="62">
        <v>419.94799999999998</v>
      </c>
    </row>
    <row r="9" spans="1:14" x14ac:dyDescent="0.35">
      <c r="A9" s="49" t="s">
        <v>315</v>
      </c>
      <c r="B9" s="49" t="s">
        <v>314</v>
      </c>
      <c r="C9" s="62">
        <v>127.04</v>
      </c>
      <c r="D9" s="62">
        <v>183.67699999999999</v>
      </c>
      <c r="E9" s="62">
        <v>198.059</v>
      </c>
      <c r="F9" s="62">
        <v>244.82</v>
      </c>
      <c r="G9" s="62">
        <v>254.78700000000001</v>
      </c>
      <c r="H9" s="62">
        <v>254.82300000000001</v>
      </c>
      <c r="I9" s="62">
        <v>276.78899999999999</v>
      </c>
      <c r="J9" s="62">
        <v>310.71499999999997</v>
      </c>
      <c r="K9" s="62">
        <v>359.58100000000002</v>
      </c>
      <c r="L9" s="62">
        <v>393.66</v>
      </c>
      <c r="M9" s="62">
        <v>404.10700000000003</v>
      </c>
      <c r="N9" s="62">
        <v>193.018</v>
      </c>
    </row>
    <row r="10" spans="1:14" x14ac:dyDescent="0.35">
      <c r="A10" s="49" t="s">
        <v>313</v>
      </c>
      <c r="B10" s="49" t="s">
        <v>312</v>
      </c>
      <c r="C10" s="62">
        <v>113.25</v>
      </c>
      <c r="D10" s="62">
        <v>126.18300000000001</v>
      </c>
      <c r="E10" s="62">
        <v>131.02799999999999</v>
      </c>
      <c r="F10" s="62">
        <v>130.047</v>
      </c>
      <c r="G10" s="62">
        <v>129.751</v>
      </c>
      <c r="H10" s="62">
        <v>138.15899999999999</v>
      </c>
      <c r="I10" s="62">
        <v>146.46600000000001</v>
      </c>
      <c r="J10" s="62">
        <v>148.39500000000001</v>
      </c>
      <c r="K10" s="62">
        <v>158.55000000000001</v>
      </c>
      <c r="L10" s="62">
        <v>178</v>
      </c>
      <c r="M10" s="62">
        <v>192.66</v>
      </c>
      <c r="N10" s="62">
        <v>244.99199999999999</v>
      </c>
    </row>
    <row r="11" spans="1:14" x14ac:dyDescent="0.35">
      <c r="A11" s="49" t="s">
        <v>311</v>
      </c>
      <c r="B11" s="49" t="s">
        <v>310</v>
      </c>
      <c r="C11" s="62">
        <v>113.25</v>
      </c>
      <c r="D11" s="62">
        <v>126.18300000000001</v>
      </c>
      <c r="E11" s="62">
        <v>131.02799999999999</v>
      </c>
      <c r="F11" s="62">
        <v>130.047</v>
      </c>
      <c r="G11" s="62">
        <v>129.751</v>
      </c>
      <c r="H11" s="62">
        <v>138.15899999999999</v>
      </c>
      <c r="I11" s="62">
        <v>146.46600000000001</v>
      </c>
      <c r="J11" s="62">
        <v>148.39500000000001</v>
      </c>
      <c r="K11" s="62">
        <v>158.55000000000001</v>
      </c>
      <c r="L11" s="62">
        <v>178</v>
      </c>
      <c r="M11" s="62">
        <v>192.66</v>
      </c>
      <c r="N11" s="62">
        <v>244.99199999999999</v>
      </c>
    </row>
    <row r="12" spans="1:14" x14ac:dyDescent="0.35">
      <c r="A12" s="49" t="s">
        <v>309</v>
      </c>
      <c r="B12" s="49" t="s">
        <v>308</v>
      </c>
      <c r="C12" s="62">
        <v>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</row>
    <row r="13" spans="1:14" x14ac:dyDescent="0.35">
      <c r="A13" s="49" t="s">
        <v>307</v>
      </c>
      <c r="B13" s="49" t="s">
        <v>306</v>
      </c>
      <c r="C13" s="62">
        <v>13.968</v>
      </c>
      <c r="D13" s="62">
        <v>15.84</v>
      </c>
      <c r="E13" s="62">
        <v>13.115</v>
      </c>
      <c r="F13" s="62">
        <v>15.983000000000001</v>
      </c>
      <c r="G13" s="62">
        <v>15.928000000000001</v>
      </c>
      <c r="H13" s="62">
        <v>14.571999999999999</v>
      </c>
      <c r="I13" s="62">
        <v>16.414999999999999</v>
      </c>
      <c r="J13" s="62">
        <v>18.939</v>
      </c>
      <c r="K13" s="62">
        <v>19.465</v>
      </c>
      <c r="L13" s="62">
        <v>22.617999999999999</v>
      </c>
      <c r="M13" s="62">
        <v>22.992000000000001</v>
      </c>
      <c r="N13" s="62">
        <v>26.341000000000001</v>
      </c>
    </row>
    <row r="14" spans="1:14" x14ac:dyDescent="0.35">
      <c r="A14" s="49" t="s">
        <v>305</v>
      </c>
      <c r="B14" s="49" t="s">
        <v>304</v>
      </c>
      <c r="C14" s="62">
        <v>5.1719999999999997</v>
      </c>
      <c r="D14" s="62">
        <v>5.9619999999999997</v>
      </c>
      <c r="E14" s="62">
        <v>3.4929999999999999</v>
      </c>
      <c r="F14" s="62">
        <v>6.24</v>
      </c>
      <c r="G14" s="62">
        <v>8.1430000000000007</v>
      </c>
      <c r="H14" s="62">
        <v>5.99</v>
      </c>
      <c r="I14" s="62">
        <v>7.3520000000000003</v>
      </c>
      <c r="J14" s="62">
        <v>9.69</v>
      </c>
      <c r="K14" s="62">
        <v>9.9499999999999993</v>
      </c>
      <c r="L14" s="62">
        <v>9.6760000000000002</v>
      </c>
      <c r="M14" s="62">
        <v>8.2170000000000005</v>
      </c>
      <c r="N14" s="62">
        <v>12.018000000000001</v>
      </c>
    </row>
    <row r="15" spans="1:14" x14ac:dyDescent="0.35">
      <c r="A15" s="49" t="s">
        <v>303</v>
      </c>
      <c r="B15" s="49" t="s">
        <v>302</v>
      </c>
      <c r="C15" s="62">
        <v>4.2409999999999997</v>
      </c>
      <c r="D15" s="62">
        <v>3.5920000000000001</v>
      </c>
      <c r="E15" s="62">
        <v>3.43</v>
      </c>
      <c r="F15" s="62">
        <v>3.734</v>
      </c>
      <c r="G15" s="62">
        <v>2.97</v>
      </c>
      <c r="H15" s="62">
        <v>4.4870000000000001</v>
      </c>
      <c r="I15" s="62">
        <v>5.2430000000000003</v>
      </c>
      <c r="J15" s="62">
        <v>6.6589999999999998</v>
      </c>
      <c r="K15" s="62">
        <v>7.0670000000000002</v>
      </c>
      <c r="L15" s="62">
        <v>9.9390000000000001</v>
      </c>
      <c r="M15" s="62">
        <v>10.888999999999999</v>
      </c>
      <c r="N15" s="62">
        <v>1.488</v>
      </c>
    </row>
    <row r="16" spans="1:14" x14ac:dyDescent="0.35">
      <c r="A16" s="49" t="s">
        <v>301</v>
      </c>
      <c r="B16" s="49" t="s">
        <v>300</v>
      </c>
      <c r="C16" s="62">
        <v>4.5549999999999997</v>
      </c>
      <c r="D16" s="62">
        <v>6.2859999999999996</v>
      </c>
      <c r="E16" s="62">
        <v>6.1920000000000002</v>
      </c>
      <c r="F16" s="62">
        <v>6.0090000000000003</v>
      </c>
      <c r="G16" s="62">
        <v>4.8150000000000004</v>
      </c>
      <c r="H16" s="62">
        <v>4.0949999999999998</v>
      </c>
      <c r="I16" s="62">
        <v>3.82</v>
      </c>
      <c r="J16" s="62">
        <v>2.59</v>
      </c>
      <c r="K16" s="62">
        <v>2.448</v>
      </c>
      <c r="L16" s="62">
        <v>3.0030000000000001</v>
      </c>
      <c r="M16" s="62">
        <v>3.8860000000000001</v>
      </c>
      <c r="N16" s="62">
        <v>12.835000000000001</v>
      </c>
    </row>
    <row r="17" spans="1:14" x14ac:dyDescent="0.35">
      <c r="A17" s="49" t="s">
        <v>299</v>
      </c>
      <c r="B17" s="49" t="s">
        <v>298</v>
      </c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</row>
    <row r="18" spans="1:14" x14ac:dyDescent="0.35">
      <c r="A18" s="49" t="s">
        <v>297</v>
      </c>
      <c r="B18" s="49" t="s">
        <v>296</v>
      </c>
      <c r="C18" s="62">
        <v>47.465000000000003</v>
      </c>
      <c r="D18" s="62">
        <v>43.710999999999999</v>
      </c>
      <c r="E18" s="62">
        <v>44.838999999999999</v>
      </c>
      <c r="F18" s="62">
        <v>44.146000000000001</v>
      </c>
      <c r="G18" s="62">
        <v>56.823</v>
      </c>
      <c r="H18" s="62">
        <v>59.78</v>
      </c>
      <c r="I18" s="62">
        <v>56.482999999999997</v>
      </c>
      <c r="J18" s="62">
        <v>59.643999999999998</v>
      </c>
      <c r="K18" s="62">
        <v>26.7</v>
      </c>
      <c r="L18" s="62">
        <v>34.307000000000002</v>
      </c>
      <c r="M18" s="62">
        <v>37.942</v>
      </c>
      <c r="N18" s="62">
        <v>27.469000000000001</v>
      </c>
    </row>
    <row r="19" spans="1:14" x14ac:dyDescent="0.35">
      <c r="A19" s="49" t="s">
        <v>269</v>
      </c>
      <c r="B19" s="49" t="s">
        <v>295</v>
      </c>
      <c r="C19" s="62">
        <v>0</v>
      </c>
      <c r="D19" s="62" t="s">
        <v>33</v>
      </c>
      <c r="E19" s="62" t="s">
        <v>33</v>
      </c>
      <c r="F19" s="62" t="s">
        <v>33</v>
      </c>
      <c r="G19" s="62">
        <v>0</v>
      </c>
      <c r="H19" s="62" t="s">
        <v>33</v>
      </c>
      <c r="I19" s="62" t="s">
        <v>33</v>
      </c>
      <c r="J19" s="62" t="s">
        <v>33</v>
      </c>
      <c r="K19" s="62">
        <v>0</v>
      </c>
      <c r="L19" s="62" t="s">
        <v>33</v>
      </c>
      <c r="M19" s="62" t="s">
        <v>33</v>
      </c>
      <c r="N19" s="62" t="s">
        <v>33</v>
      </c>
    </row>
    <row r="20" spans="1:14" x14ac:dyDescent="0.35">
      <c r="A20" s="49" t="s">
        <v>271</v>
      </c>
      <c r="B20" s="49" t="s">
        <v>294</v>
      </c>
      <c r="C20" s="62" t="s">
        <v>33</v>
      </c>
      <c r="D20" s="62" t="s">
        <v>33</v>
      </c>
      <c r="E20" s="62" t="s">
        <v>33</v>
      </c>
      <c r="F20" s="62" t="s">
        <v>33</v>
      </c>
      <c r="G20" s="62">
        <v>37.052999999999997</v>
      </c>
      <c r="H20" s="62">
        <v>29.911000000000001</v>
      </c>
      <c r="I20" s="62">
        <v>29.972000000000001</v>
      </c>
      <c r="J20" s="62">
        <v>30.09</v>
      </c>
      <c r="K20" s="62">
        <v>0</v>
      </c>
      <c r="L20" s="62" t="s">
        <v>33</v>
      </c>
      <c r="M20" s="62" t="s">
        <v>33</v>
      </c>
      <c r="N20" s="62" t="s">
        <v>33</v>
      </c>
    </row>
    <row r="21" spans="1:14" x14ac:dyDescent="0.35">
      <c r="A21" s="49" t="s">
        <v>293</v>
      </c>
      <c r="B21" s="49" t="s">
        <v>292</v>
      </c>
      <c r="C21" s="62">
        <v>47.465000000000003</v>
      </c>
      <c r="D21" s="62">
        <v>43.710999999999999</v>
      </c>
      <c r="E21" s="62">
        <v>44.838999999999999</v>
      </c>
      <c r="F21" s="62">
        <v>44.146000000000001</v>
      </c>
      <c r="G21" s="62">
        <v>19.77</v>
      </c>
      <c r="H21" s="62">
        <v>29.869</v>
      </c>
      <c r="I21" s="62">
        <v>26.510999999999999</v>
      </c>
      <c r="J21" s="62">
        <v>29.553999999999998</v>
      </c>
      <c r="K21" s="62">
        <v>26.7</v>
      </c>
      <c r="L21" s="62">
        <v>34.307000000000002</v>
      </c>
      <c r="M21" s="62">
        <v>37.942</v>
      </c>
      <c r="N21" s="62">
        <v>27.469000000000001</v>
      </c>
    </row>
    <row r="22" spans="1:14" s="1" customFormat="1" x14ac:dyDescent="0.35">
      <c r="A22" s="98" t="s">
        <v>291</v>
      </c>
      <c r="B22" s="98" t="s">
        <v>290</v>
      </c>
      <c r="C22" s="99">
        <v>544.67600000000004</v>
      </c>
      <c r="D22" s="99">
        <v>552.17700000000002</v>
      </c>
      <c r="E22" s="99">
        <v>554.51199999999994</v>
      </c>
      <c r="F22" s="99">
        <v>615.67200000000003</v>
      </c>
      <c r="G22" s="99">
        <v>657.16</v>
      </c>
      <c r="H22" s="99">
        <v>657.31200000000001</v>
      </c>
      <c r="I22" s="99">
        <v>657.90599999999995</v>
      </c>
      <c r="J22" s="99">
        <v>711.73299999999995</v>
      </c>
      <c r="K22" s="99">
        <v>732.01</v>
      </c>
      <c r="L22" s="99">
        <v>783.00300000000004</v>
      </c>
      <c r="M22" s="99">
        <v>825.40700000000004</v>
      </c>
      <c r="N22" s="99">
        <v>911.76800000000003</v>
      </c>
    </row>
    <row r="23" spans="1:14" x14ac:dyDescent="0.35">
      <c r="A23" s="49" t="s">
        <v>289</v>
      </c>
      <c r="B23" s="49" t="s">
        <v>288</v>
      </c>
      <c r="C23" s="62">
        <v>75.742999999999995</v>
      </c>
      <c r="D23" s="62">
        <v>79.093000000000004</v>
      </c>
      <c r="E23" s="62">
        <v>81.311999999999998</v>
      </c>
      <c r="F23" s="62">
        <v>86.447000000000003</v>
      </c>
      <c r="G23" s="62">
        <v>90.125</v>
      </c>
      <c r="H23" s="62">
        <v>99.763999999999996</v>
      </c>
      <c r="I23" s="62">
        <v>108.029</v>
      </c>
      <c r="J23" s="62">
        <v>120.738</v>
      </c>
      <c r="K23" s="62">
        <v>136.47300000000001</v>
      </c>
      <c r="L23" s="62">
        <v>148.029</v>
      </c>
      <c r="M23" s="62">
        <v>161.685</v>
      </c>
      <c r="N23" s="62">
        <v>172.65799999999999</v>
      </c>
    </row>
    <row r="24" spans="1:14" x14ac:dyDescent="0.35">
      <c r="A24" s="49" t="s">
        <v>287</v>
      </c>
      <c r="B24" s="49" t="s">
        <v>286</v>
      </c>
      <c r="C24" s="62">
        <v>181.249</v>
      </c>
      <c r="D24" s="62" t="s">
        <v>33</v>
      </c>
      <c r="E24" s="62" t="s">
        <v>33</v>
      </c>
      <c r="F24" s="62" t="s">
        <v>33</v>
      </c>
      <c r="G24" s="62">
        <v>197.92699999999999</v>
      </c>
      <c r="H24" s="62" t="s">
        <v>33</v>
      </c>
      <c r="I24" s="62" t="s">
        <v>33</v>
      </c>
      <c r="J24" s="62" t="s">
        <v>33</v>
      </c>
      <c r="K24" s="62">
        <v>254.51</v>
      </c>
      <c r="L24" s="62" t="s">
        <v>33</v>
      </c>
      <c r="M24" s="62" t="s">
        <v>33</v>
      </c>
      <c r="N24" s="62" t="s">
        <v>33</v>
      </c>
    </row>
    <row r="25" spans="1:14" x14ac:dyDescent="0.35">
      <c r="A25" s="49" t="s">
        <v>285</v>
      </c>
      <c r="B25" s="49" t="s">
        <v>284</v>
      </c>
      <c r="C25" s="62">
        <v>105.506</v>
      </c>
      <c r="D25" s="62" t="s">
        <v>33</v>
      </c>
      <c r="E25" s="62" t="s">
        <v>33</v>
      </c>
      <c r="F25" s="62" t="s">
        <v>33</v>
      </c>
      <c r="G25" s="62">
        <v>107.80200000000001</v>
      </c>
      <c r="H25" s="62" t="s">
        <v>33</v>
      </c>
      <c r="I25" s="62" t="s">
        <v>33</v>
      </c>
      <c r="J25" s="62" t="s">
        <v>33</v>
      </c>
      <c r="K25" s="62">
        <v>118.03700000000001</v>
      </c>
      <c r="L25" s="62" t="s">
        <v>33</v>
      </c>
      <c r="M25" s="62" t="s">
        <v>33</v>
      </c>
      <c r="N25" s="62" t="s">
        <v>33</v>
      </c>
    </row>
    <row r="26" spans="1:14" x14ac:dyDescent="0.35">
      <c r="A26" s="49" t="s">
        <v>283</v>
      </c>
      <c r="B26" s="49" t="s">
        <v>282</v>
      </c>
      <c r="C26" s="62">
        <v>101.97799999999999</v>
      </c>
      <c r="D26" s="62">
        <v>138.929</v>
      </c>
      <c r="E26" s="62">
        <v>137.148</v>
      </c>
      <c r="F26" s="62">
        <v>136.017</v>
      </c>
      <c r="G26" s="62">
        <v>147.892</v>
      </c>
      <c r="H26" s="62">
        <v>168.17099999999999</v>
      </c>
      <c r="I26" s="62">
        <v>158.161</v>
      </c>
      <c r="J26" s="62">
        <v>145.24600000000001</v>
      </c>
      <c r="K26" s="62">
        <v>151.37</v>
      </c>
      <c r="L26" s="62">
        <v>132.69</v>
      </c>
      <c r="M26" s="62">
        <v>113.158</v>
      </c>
      <c r="N26" s="62">
        <v>62.82</v>
      </c>
    </row>
    <row r="27" spans="1:14" x14ac:dyDescent="0.35">
      <c r="A27" s="49" t="s">
        <v>281</v>
      </c>
      <c r="B27" s="49" t="s">
        <v>280</v>
      </c>
      <c r="C27" s="62">
        <v>101.97799999999999</v>
      </c>
      <c r="D27" s="62">
        <v>138.929</v>
      </c>
      <c r="E27" s="62">
        <v>137.148</v>
      </c>
      <c r="F27" s="62">
        <v>136.017</v>
      </c>
      <c r="G27" s="62">
        <v>147.892</v>
      </c>
      <c r="H27" s="62">
        <v>168.17099999999999</v>
      </c>
      <c r="I27" s="62">
        <v>158.161</v>
      </c>
      <c r="J27" s="62">
        <v>145.24600000000001</v>
      </c>
      <c r="K27" s="62">
        <v>151.37</v>
      </c>
      <c r="L27" s="62">
        <v>132.69</v>
      </c>
      <c r="M27" s="62">
        <v>113.158</v>
      </c>
      <c r="N27" s="62">
        <v>62.82</v>
      </c>
    </row>
    <row r="28" spans="1:14" x14ac:dyDescent="0.35">
      <c r="A28" s="49" t="s">
        <v>279</v>
      </c>
      <c r="B28" s="49" t="s">
        <v>278</v>
      </c>
      <c r="C28" s="62">
        <v>109.75</v>
      </c>
      <c r="D28" s="62">
        <v>115.44199999999999</v>
      </c>
      <c r="E28" s="62">
        <v>112.461</v>
      </c>
      <c r="F28" s="62">
        <v>48.564</v>
      </c>
      <c r="G28" s="62">
        <v>92.82</v>
      </c>
      <c r="H28" s="62">
        <v>103.158</v>
      </c>
      <c r="I28" s="62">
        <v>104.485</v>
      </c>
      <c r="J28" s="62">
        <v>101.845</v>
      </c>
      <c r="K28" s="62">
        <v>138.78</v>
      </c>
      <c r="L28" s="62">
        <v>143.83799999999999</v>
      </c>
      <c r="M28" s="62">
        <v>151.023</v>
      </c>
      <c r="N28" s="62">
        <v>211.64699999999999</v>
      </c>
    </row>
    <row r="29" spans="1:14" x14ac:dyDescent="0.35">
      <c r="A29" s="49" t="s">
        <v>277</v>
      </c>
      <c r="B29" s="49" t="s">
        <v>276</v>
      </c>
      <c r="C29" s="62">
        <v>85.361999999999995</v>
      </c>
      <c r="D29" s="62">
        <v>84.388000000000005</v>
      </c>
      <c r="E29" s="62">
        <v>83.795000000000002</v>
      </c>
      <c r="F29" s="62">
        <v>82.926000000000002</v>
      </c>
      <c r="G29" s="62">
        <v>82.055999999999997</v>
      </c>
      <c r="H29" s="62">
        <v>81.274000000000001</v>
      </c>
      <c r="I29" s="62">
        <v>80.59</v>
      </c>
      <c r="J29" s="62">
        <v>79.715000000000003</v>
      </c>
      <c r="K29" s="62">
        <v>79.162000000000006</v>
      </c>
      <c r="L29" s="62">
        <v>78.605999999999995</v>
      </c>
      <c r="M29" s="62">
        <v>83.748999999999995</v>
      </c>
      <c r="N29" s="62">
        <v>82.986999999999995</v>
      </c>
    </row>
    <row r="30" spans="1:14" x14ac:dyDescent="0.35">
      <c r="A30" s="47" t="s">
        <v>275</v>
      </c>
      <c r="B30" s="47" t="s">
        <v>274</v>
      </c>
      <c r="C30" s="73">
        <v>61.622999999999998</v>
      </c>
      <c r="D30" s="73">
        <v>61.750999999999998</v>
      </c>
      <c r="E30" s="73">
        <v>61.807000000000002</v>
      </c>
      <c r="F30" s="73">
        <v>61.588999999999999</v>
      </c>
      <c r="G30" s="73">
        <v>61.369</v>
      </c>
      <c r="H30" s="73">
        <v>61.237000000000002</v>
      </c>
      <c r="I30" s="73">
        <v>61.203000000000003</v>
      </c>
      <c r="J30" s="73">
        <v>60.978000000000002</v>
      </c>
      <c r="K30" s="73">
        <v>61.073999999999998</v>
      </c>
      <c r="L30" s="73">
        <v>61.167999999999999</v>
      </c>
      <c r="M30" s="73">
        <v>61.119</v>
      </c>
      <c r="N30" s="73">
        <v>61.195</v>
      </c>
    </row>
    <row r="31" spans="1:14" x14ac:dyDescent="0.35">
      <c r="A31" s="47" t="s">
        <v>273</v>
      </c>
      <c r="B31" s="47" t="s">
        <v>272</v>
      </c>
      <c r="C31" s="73">
        <v>23.739000000000001</v>
      </c>
      <c r="D31" s="73">
        <v>22.637</v>
      </c>
      <c r="E31" s="73">
        <v>21.988</v>
      </c>
      <c r="F31" s="73">
        <v>21.337</v>
      </c>
      <c r="G31" s="73">
        <v>20.687000000000001</v>
      </c>
      <c r="H31" s="73">
        <v>20.036999999999999</v>
      </c>
      <c r="I31" s="73">
        <v>19.387</v>
      </c>
      <c r="J31" s="73">
        <v>18.736999999999998</v>
      </c>
      <c r="K31" s="73">
        <v>18.088000000000001</v>
      </c>
      <c r="L31" s="73">
        <v>17.437999999999999</v>
      </c>
      <c r="M31" s="73">
        <v>22.63</v>
      </c>
      <c r="N31" s="73">
        <v>21.792000000000002</v>
      </c>
    </row>
    <row r="32" spans="1:14" x14ac:dyDescent="0.35">
      <c r="A32" s="49" t="s">
        <v>271</v>
      </c>
      <c r="B32" s="49" t="s">
        <v>270</v>
      </c>
      <c r="C32" s="62">
        <v>15.766</v>
      </c>
      <c r="D32" s="62">
        <v>22.739000000000001</v>
      </c>
      <c r="E32" s="62">
        <v>20.456</v>
      </c>
      <c r="F32" s="62">
        <v>19.713999999999999</v>
      </c>
      <c r="G32" s="62">
        <v>3.0990000000000002</v>
      </c>
      <c r="H32" s="62">
        <v>14.63</v>
      </c>
      <c r="I32" s="62">
        <v>16.013999999999999</v>
      </c>
      <c r="J32" s="62">
        <v>14.542</v>
      </c>
      <c r="K32" s="62">
        <v>51.415999999999997</v>
      </c>
      <c r="L32" s="62">
        <v>57.527000000000001</v>
      </c>
      <c r="M32" s="62">
        <v>60.051000000000002</v>
      </c>
      <c r="N32" s="62">
        <v>68.918000000000006</v>
      </c>
    </row>
    <row r="33" spans="1:14" x14ac:dyDescent="0.35">
      <c r="A33" s="49" t="s">
        <v>269</v>
      </c>
      <c r="B33" s="49" t="s">
        <v>268</v>
      </c>
      <c r="C33" s="62">
        <v>0</v>
      </c>
      <c r="D33" s="62" t="s">
        <v>33</v>
      </c>
      <c r="E33" s="62" t="s">
        <v>33</v>
      </c>
      <c r="F33" s="62" t="s">
        <v>33</v>
      </c>
      <c r="G33" s="62">
        <v>0</v>
      </c>
      <c r="H33" s="62" t="s">
        <v>33</v>
      </c>
      <c r="I33" s="62" t="s">
        <v>33</v>
      </c>
      <c r="J33" s="62" t="s">
        <v>33</v>
      </c>
      <c r="K33" s="62">
        <v>0</v>
      </c>
      <c r="L33" s="62" t="s">
        <v>33</v>
      </c>
      <c r="M33" s="62" t="s">
        <v>33</v>
      </c>
      <c r="N33" s="62" t="s">
        <v>33</v>
      </c>
    </row>
    <row r="34" spans="1:14" x14ac:dyDescent="0.35">
      <c r="A34" s="49" t="s">
        <v>427</v>
      </c>
      <c r="B34" s="49" t="s">
        <v>426</v>
      </c>
      <c r="C34" s="62" t="s">
        <v>33</v>
      </c>
      <c r="D34" s="62" t="s">
        <v>33</v>
      </c>
      <c r="E34" s="62" t="s">
        <v>33</v>
      </c>
      <c r="F34" s="62" t="s">
        <v>33</v>
      </c>
      <c r="G34" s="62" t="s">
        <v>33</v>
      </c>
      <c r="H34" s="62" t="s">
        <v>33</v>
      </c>
      <c r="I34" s="62" t="s">
        <v>33</v>
      </c>
      <c r="J34" s="62" t="s">
        <v>33</v>
      </c>
      <c r="K34" s="62" t="s">
        <v>33</v>
      </c>
      <c r="L34" s="62" t="s">
        <v>33</v>
      </c>
      <c r="M34" s="62" t="s">
        <v>33</v>
      </c>
      <c r="N34" s="62">
        <v>46.268000000000001</v>
      </c>
    </row>
    <row r="35" spans="1:14" x14ac:dyDescent="0.35">
      <c r="A35" s="49" t="s">
        <v>267</v>
      </c>
      <c r="B35" s="49" t="s">
        <v>266</v>
      </c>
      <c r="C35" s="62">
        <v>8.6219999999999999</v>
      </c>
      <c r="D35" s="62">
        <v>8.3149999999999995</v>
      </c>
      <c r="E35" s="62">
        <v>8.2100000000000009</v>
      </c>
      <c r="F35" s="62">
        <v>7.5129999999999999</v>
      </c>
      <c r="G35" s="62">
        <v>7.665</v>
      </c>
      <c r="H35" s="62">
        <v>7.2539999999999996</v>
      </c>
      <c r="I35" s="62">
        <v>7.8810000000000002</v>
      </c>
      <c r="J35" s="62">
        <v>7.5880000000000001</v>
      </c>
      <c r="K35" s="62">
        <v>8.202</v>
      </c>
      <c r="L35" s="62">
        <v>7.7050000000000001</v>
      </c>
      <c r="M35" s="62">
        <v>7.2229999999999999</v>
      </c>
      <c r="N35" s="62">
        <v>13.474</v>
      </c>
    </row>
    <row r="36" spans="1:14" x14ac:dyDescent="0.35">
      <c r="A36" s="48" t="s">
        <v>265</v>
      </c>
      <c r="B36" s="48" t="s">
        <v>264</v>
      </c>
      <c r="C36" s="68">
        <v>287.471</v>
      </c>
      <c r="D36" s="68">
        <v>333.464</v>
      </c>
      <c r="E36" s="68">
        <v>330.92099999999999</v>
      </c>
      <c r="F36" s="68">
        <v>271.02800000000002</v>
      </c>
      <c r="G36" s="68">
        <v>330.83699999999999</v>
      </c>
      <c r="H36" s="68">
        <v>371.09300000000002</v>
      </c>
      <c r="I36" s="68">
        <v>370.67500000000001</v>
      </c>
      <c r="J36" s="68">
        <v>367.82900000000001</v>
      </c>
      <c r="K36" s="68">
        <v>426.62299999999999</v>
      </c>
      <c r="L36" s="68">
        <v>424.55700000000002</v>
      </c>
      <c r="M36" s="68">
        <v>425.86599999999999</v>
      </c>
      <c r="N36" s="68">
        <v>447.125</v>
      </c>
    </row>
    <row r="37" spans="1:14" s="1" customFormat="1" x14ac:dyDescent="0.35">
      <c r="A37" s="98" t="s">
        <v>263</v>
      </c>
      <c r="B37" s="98" t="s">
        <v>262</v>
      </c>
      <c r="C37" s="99">
        <v>832.14700000000005</v>
      </c>
      <c r="D37" s="99">
        <v>885.64099999999996</v>
      </c>
      <c r="E37" s="99">
        <v>885.43299999999999</v>
      </c>
      <c r="F37" s="99">
        <v>948.28899999999999</v>
      </c>
      <c r="G37" s="99">
        <v>987.99699999999996</v>
      </c>
      <c r="H37" s="99">
        <v>1028.405</v>
      </c>
      <c r="I37" s="99">
        <v>1028.5809999999999</v>
      </c>
      <c r="J37" s="99">
        <v>1079.5619999999999</v>
      </c>
      <c r="K37" s="99">
        <v>1158.633</v>
      </c>
      <c r="L37" s="99">
        <v>1207.56</v>
      </c>
      <c r="M37" s="99">
        <v>1251.2729999999999</v>
      </c>
      <c r="N37" s="99">
        <v>1358.893</v>
      </c>
    </row>
    <row r="38" spans="1:14" x14ac:dyDescent="0.35">
      <c r="A38" s="48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</row>
    <row r="39" spans="1:14" x14ac:dyDescent="0.35">
      <c r="A39" s="48" t="s">
        <v>261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14" x14ac:dyDescent="0.35">
      <c r="A40" s="49" t="s">
        <v>260</v>
      </c>
      <c r="B40" s="49" t="s">
        <v>259</v>
      </c>
      <c r="C40" s="62">
        <v>98.063000000000002</v>
      </c>
      <c r="D40" s="62">
        <v>89.855000000000004</v>
      </c>
      <c r="E40" s="62">
        <v>101.988</v>
      </c>
      <c r="F40" s="62">
        <v>111.117</v>
      </c>
      <c r="G40" s="62">
        <v>111.127</v>
      </c>
      <c r="H40" s="62">
        <v>106.70699999999999</v>
      </c>
      <c r="I40" s="62">
        <v>121.505</v>
      </c>
      <c r="J40" s="62">
        <v>128.51300000000001</v>
      </c>
      <c r="K40" s="62">
        <v>142.119</v>
      </c>
      <c r="L40" s="62">
        <v>128.98099999999999</v>
      </c>
      <c r="M40" s="62">
        <v>138.43199999999999</v>
      </c>
      <c r="N40" s="62">
        <v>165.642</v>
      </c>
    </row>
    <row r="41" spans="1:14" x14ac:dyDescent="0.35">
      <c r="A41" s="49" t="s">
        <v>258</v>
      </c>
      <c r="B41" s="49" t="s">
        <v>257</v>
      </c>
      <c r="C41" s="62">
        <v>17.718</v>
      </c>
      <c r="D41" s="62">
        <v>18.506</v>
      </c>
      <c r="E41" s="62">
        <v>20.939</v>
      </c>
      <c r="F41" s="62">
        <v>24.516999999999999</v>
      </c>
      <c r="G41" s="62">
        <v>23.247</v>
      </c>
      <c r="H41" s="62">
        <v>24.995999999999999</v>
      </c>
      <c r="I41" s="62">
        <v>29.513000000000002</v>
      </c>
      <c r="J41" s="62">
        <v>32.598999999999997</v>
      </c>
      <c r="K41" s="62">
        <v>34.353999999999999</v>
      </c>
      <c r="L41" s="62">
        <v>36.258000000000003</v>
      </c>
      <c r="M41" s="62">
        <v>30.927</v>
      </c>
      <c r="N41" s="62">
        <v>33.103999999999999</v>
      </c>
    </row>
    <row r="42" spans="1:14" x14ac:dyDescent="0.35">
      <c r="A42" s="49" t="s">
        <v>256</v>
      </c>
      <c r="B42" s="49" t="s">
        <v>255</v>
      </c>
      <c r="C42" s="62">
        <v>0</v>
      </c>
      <c r="D42" s="62" t="s">
        <v>33</v>
      </c>
      <c r="E42" s="62">
        <v>8.6950000000000003</v>
      </c>
      <c r="F42" s="62" t="s">
        <v>33</v>
      </c>
      <c r="G42" s="62">
        <v>0</v>
      </c>
      <c r="H42" s="62" t="s">
        <v>33</v>
      </c>
      <c r="I42" s="62">
        <v>1.9390000000000001</v>
      </c>
      <c r="J42" s="62">
        <v>2.4</v>
      </c>
      <c r="K42" s="62">
        <v>2.6459999999999999</v>
      </c>
      <c r="L42" s="62">
        <v>1.7929999999999999</v>
      </c>
      <c r="M42" s="62">
        <v>3.3849999999999998</v>
      </c>
      <c r="N42" s="62">
        <v>5.0430000000000001</v>
      </c>
    </row>
    <row r="43" spans="1:14" x14ac:dyDescent="0.35">
      <c r="A43" s="49" t="s">
        <v>254</v>
      </c>
      <c r="B43" s="49" t="s">
        <v>253</v>
      </c>
      <c r="C43" s="62">
        <v>0</v>
      </c>
      <c r="D43" s="62" t="s">
        <v>33</v>
      </c>
      <c r="E43" s="62" t="s">
        <v>33</v>
      </c>
      <c r="F43" s="62" t="s">
        <v>33</v>
      </c>
      <c r="G43" s="62">
        <v>0</v>
      </c>
      <c r="H43" s="62" t="s">
        <v>33</v>
      </c>
      <c r="I43" s="62" t="s">
        <v>33</v>
      </c>
      <c r="J43" s="62" t="s">
        <v>33</v>
      </c>
      <c r="K43" s="62">
        <v>0</v>
      </c>
      <c r="L43" s="62" t="s">
        <v>33</v>
      </c>
      <c r="M43" s="62" t="s">
        <v>33</v>
      </c>
      <c r="N43" s="62" t="s">
        <v>33</v>
      </c>
    </row>
    <row r="44" spans="1:14" x14ac:dyDescent="0.35">
      <c r="A44" s="49" t="s">
        <v>252</v>
      </c>
      <c r="B44" s="49" t="s">
        <v>251</v>
      </c>
      <c r="C44" s="62">
        <v>80.344999999999999</v>
      </c>
      <c r="D44" s="62">
        <v>71.349000000000004</v>
      </c>
      <c r="E44" s="62">
        <v>72.353999999999999</v>
      </c>
      <c r="F44" s="62">
        <v>86.6</v>
      </c>
      <c r="G44" s="62">
        <v>87.88</v>
      </c>
      <c r="H44" s="62">
        <v>81.710999999999999</v>
      </c>
      <c r="I44" s="62">
        <v>90.052999999999997</v>
      </c>
      <c r="J44" s="62">
        <v>93.513999999999996</v>
      </c>
      <c r="K44" s="62">
        <v>105.119</v>
      </c>
      <c r="L44" s="62">
        <v>90.93</v>
      </c>
      <c r="M44" s="62">
        <v>104.12</v>
      </c>
      <c r="N44" s="62">
        <v>127.495</v>
      </c>
    </row>
    <row r="45" spans="1:14" s="1" customFormat="1" x14ac:dyDescent="0.35">
      <c r="A45" s="85" t="s">
        <v>250</v>
      </c>
      <c r="B45" s="85" t="s">
        <v>249</v>
      </c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</row>
    <row r="46" spans="1:14" x14ac:dyDescent="0.35">
      <c r="A46" s="49" t="s">
        <v>248</v>
      </c>
      <c r="B46" s="49" t="s">
        <v>247</v>
      </c>
      <c r="C46" s="62">
        <v>0</v>
      </c>
      <c r="D46" s="62">
        <v>0</v>
      </c>
      <c r="E46" s="62">
        <v>0</v>
      </c>
      <c r="F46" s="62" t="s">
        <v>33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</row>
    <row r="47" spans="1:14" x14ac:dyDescent="0.35">
      <c r="A47" s="49" t="s">
        <v>246</v>
      </c>
      <c r="B47" s="49" t="s">
        <v>245</v>
      </c>
      <c r="C47" s="62">
        <v>0</v>
      </c>
      <c r="D47" s="62" t="s">
        <v>33</v>
      </c>
      <c r="E47" s="62" t="s">
        <v>33</v>
      </c>
      <c r="F47" s="62" t="s">
        <v>33</v>
      </c>
      <c r="G47" s="62">
        <v>0</v>
      </c>
      <c r="H47" s="62" t="s">
        <v>33</v>
      </c>
      <c r="I47" s="62" t="s">
        <v>33</v>
      </c>
      <c r="J47" s="62" t="s">
        <v>33</v>
      </c>
      <c r="K47" s="62">
        <v>0</v>
      </c>
      <c r="L47" s="62" t="s">
        <v>33</v>
      </c>
      <c r="M47" s="62" t="s">
        <v>33</v>
      </c>
      <c r="N47" s="62" t="s">
        <v>33</v>
      </c>
    </row>
    <row r="48" spans="1:14" x14ac:dyDescent="0.35">
      <c r="A48" s="49" t="s">
        <v>244</v>
      </c>
      <c r="B48" s="49" t="s">
        <v>243</v>
      </c>
      <c r="C48" s="62">
        <v>77.275000000000006</v>
      </c>
      <c r="D48" s="62">
        <v>81</v>
      </c>
      <c r="E48" s="62">
        <v>85.125</v>
      </c>
      <c r="F48" s="62">
        <v>87.442999999999998</v>
      </c>
      <c r="G48" s="62">
        <v>90.683999999999997</v>
      </c>
      <c r="H48" s="62">
        <v>93.867999999999995</v>
      </c>
      <c r="I48" s="62">
        <v>101.42</v>
      </c>
      <c r="J48" s="62">
        <v>115.998</v>
      </c>
      <c r="K48" s="62">
        <v>129.553</v>
      </c>
      <c r="L48" s="62">
        <v>145.76900000000001</v>
      </c>
      <c r="M48" s="62">
        <v>160.55699999999999</v>
      </c>
      <c r="N48" s="62">
        <v>177.40899999999999</v>
      </c>
    </row>
    <row r="49" spans="1:14" x14ac:dyDescent="0.35">
      <c r="A49" s="49" t="s">
        <v>220</v>
      </c>
      <c r="B49" s="49" t="s">
        <v>242</v>
      </c>
      <c r="C49" s="62">
        <v>77.275000000000006</v>
      </c>
      <c r="D49" s="62">
        <v>81</v>
      </c>
      <c r="E49" s="62">
        <v>85.125</v>
      </c>
      <c r="F49" s="62">
        <v>87.442999999999998</v>
      </c>
      <c r="G49" s="62">
        <v>90.683999999999997</v>
      </c>
      <c r="H49" s="62">
        <v>93.867999999999995</v>
      </c>
      <c r="I49" s="62">
        <v>101.42</v>
      </c>
      <c r="J49" s="62">
        <v>115.998</v>
      </c>
      <c r="K49" s="62">
        <v>129.553</v>
      </c>
      <c r="L49" s="62">
        <v>145.76900000000001</v>
      </c>
      <c r="M49" s="62">
        <v>160.55699999999999</v>
      </c>
      <c r="N49" s="62">
        <v>177.40899999999999</v>
      </c>
    </row>
    <row r="50" spans="1:14" x14ac:dyDescent="0.35">
      <c r="A50" s="49" t="s">
        <v>218</v>
      </c>
      <c r="B50" s="49" t="s">
        <v>241</v>
      </c>
      <c r="C50" s="62">
        <v>0</v>
      </c>
      <c r="D50" s="62" t="s">
        <v>33</v>
      </c>
      <c r="E50" s="62" t="s">
        <v>33</v>
      </c>
      <c r="F50" s="62" t="s">
        <v>33</v>
      </c>
      <c r="G50" s="62">
        <v>0</v>
      </c>
      <c r="H50" s="62" t="s">
        <v>33</v>
      </c>
      <c r="I50" s="62" t="s">
        <v>33</v>
      </c>
      <c r="J50" s="62" t="s">
        <v>33</v>
      </c>
      <c r="K50" s="62" t="s">
        <v>33</v>
      </c>
      <c r="L50" s="62" t="s">
        <v>33</v>
      </c>
      <c r="M50" s="62" t="s">
        <v>33</v>
      </c>
      <c r="N50" s="62" t="s">
        <v>33</v>
      </c>
    </row>
    <row r="51" spans="1:14" x14ac:dyDescent="0.35">
      <c r="A51" s="49" t="s">
        <v>240</v>
      </c>
      <c r="B51" s="49" t="s">
        <v>239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</row>
    <row r="52" spans="1:14" s="1" customFormat="1" x14ac:dyDescent="0.35">
      <c r="A52" s="98" t="s">
        <v>238</v>
      </c>
      <c r="B52" s="98" t="s">
        <v>237</v>
      </c>
      <c r="C52" s="99">
        <v>175.33799999999999</v>
      </c>
      <c r="D52" s="99">
        <v>170.85499999999999</v>
      </c>
      <c r="E52" s="99">
        <v>187.113</v>
      </c>
      <c r="F52" s="99">
        <v>198.56</v>
      </c>
      <c r="G52" s="99">
        <v>201.81100000000001</v>
      </c>
      <c r="H52" s="99">
        <v>200.57499999999999</v>
      </c>
      <c r="I52" s="99">
        <v>222.92500000000001</v>
      </c>
      <c r="J52" s="99">
        <v>244.511</v>
      </c>
      <c r="K52" s="99">
        <v>271.67200000000003</v>
      </c>
      <c r="L52" s="99">
        <v>274.75</v>
      </c>
      <c r="M52" s="99">
        <v>298.98899999999998</v>
      </c>
      <c r="N52" s="99">
        <v>343.05099999999999</v>
      </c>
    </row>
    <row r="53" spans="1:14" s="1" customFormat="1" x14ac:dyDescent="0.35">
      <c r="A53" s="85" t="s">
        <v>236</v>
      </c>
      <c r="B53" s="85" t="s">
        <v>235</v>
      </c>
      <c r="C53" s="86">
        <v>0</v>
      </c>
      <c r="D53" s="86">
        <v>0</v>
      </c>
      <c r="E53" s="86">
        <v>0</v>
      </c>
      <c r="F53" s="86">
        <v>0</v>
      </c>
      <c r="G53" s="86">
        <v>0</v>
      </c>
      <c r="H53" s="86">
        <v>0</v>
      </c>
      <c r="I53" s="86">
        <v>0</v>
      </c>
      <c r="J53" s="86">
        <v>0</v>
      </c>
      <c r="K53" s="86">
        <v>0</v>
      </c>
      <c r="L53" s="86">
        <v>0</v>
      </c>
      <c r="M53" s="86">
        <v>0</v>
      </c>
      <c r="N53" s="86">
        <v>0</v>
      </c>
    </row>
    <row r="54" spans="1:14" x14ac:dyDescent="0.35">
      <c r="A54" s="49" t="s">
        <v>234</v>
      </c>
      <c r="B54" s="49" t="s">
        <v>233</v>
      </c>
      <c r="C54" s="62">
        <v>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</row>
    <row r="55" spans="1:14" x14ac:dyDescent="0.35">
      <c r="A55" s="49" t="s">
        <v>232</v>
      </c>
      <c r="B55" s="49" t="s">
        <v>231</v>
      </c>
      <c r="C55" s="62">
        <v>0</v>
      </c>
      <c r="D55" s="62" t="s">
        <v>33</v>
      </c>
      <c r="E55" s="62" t="s">
        <v>33</v>
      </c>
      <c r="F55" s="62" t="s">
        <v>33</v>
      </c>
      <c r="G55" s="62">
        <v>0</v>
      </c>
      <c r="H55" s="62" t="s">
        <v>33</v>
      </c>
      <c r="I55" s="62" t="s">
        <v>33</v>
      </c>
      <c r="J55" s="62" t="s">
        <v>33</v>
      </c>
      <c r="K55" s="62">
        <v>0</v>
      </c>
      <c r="L55" s="62" t="s">
        <v>33</v>
      </c>
      <c r="M55" s="62" t="s">
        <v>33</v>
      </c>
      <c r="N55" s="62" t="s">
        <v>33</v>
      </c>
    </row>
    <row r="56" spans="1:14" x14ac:dyDescent="0.35">
      <c r="A56" s="49" t="s">
        <v>230</v>
      </c>
      <c r="B56" s="49" t="s">
        <v>229</v>
      </c>
      <c r="C56" s="62">
        <v>22.838999999999999</v>
      </c>
      <c r="D56" s="62">
        <v>18.033000000000001</v>
      </c>
      <c r="E56" s="62">
        <v>22.524000000000001</v>
      </c>
      <c r="F56" s="62">
        <v>27.273</v>
      </c>
      <c r="G56" s="62">
        <v>33.414999999999999</v>
      </c>
      <c r="H56" s="62">
        <v>34.295999999999999</v>
      </c>
      <c r="I56" s="62">
        <v>35.854999999999997</v>
      </c>
      <c r="J56" s="62">
        <v>36.792000000000002</v>
      </c>
      <c r="K56" s="62">
        <v>39.034999999999997</v>
      </c>
      <c r="L56" s="62">
        <v>40.78</v>
      </c>
      <c r="M56" s="62">
        <v>42.426000000000002</v>
      </c>
      <c r="N56" s="62">
        <v>43.531999999999996</v>
      </c>
    </row>
    <row r="57" spans="1:14" x14ac:dyDescent="0.35">
      <c r="A57" s="49" t="s">
        <v>228</v>
      </c>
      <c r="B57" s="49" t="s">
        <v>227</v>
      </c>
      <c r="C57" s="62">
        <v>0</v>
      </c>
      <c r="D57" s="62" t="s">
        <v>33</v>
      </c>
      <c r="E57" s="62" t="s">
        <v>33</v>
      </c>
      <c r="F57" s="62" t="s">
        <v>33</v>
      </c>
      <c r="G57" s="62">
        <v>0</v>
      </c>
      <c r="H57" s="62" t="s">
        <v>33</v>
      </c>
      <c r="I57" s="62" t="s">
        <v>33</v>
      </c>
      <c r="J57" s="62" t="s">
        <v>33</v>
      </c>
      <c r="K57" s="62">
        <v>0</v>
      </c>
      <c r="L57" s="62" t="s">
        <v>33</v>
      </c>
      <c r="M57" s="62" t="s">
        <v>33</v>
      </c>
      <c r="N57" s="62" t="s">
        <v>33</v>
      </c>
    </row>
    <row r="58" spans="1:14" x14ac:dyDescent="0.35">
      <c r="A58" s="49" t="s">
        <v>226</v>
      </c>
      <c r="B58" s="49" t="s">
        <v>225</v>
      </c>
      <c r="C58" s="62">
        <v>0</v>
      </c>
      <c r="D58" s="62" t="s">
        <v>33</v>
      </c>
      <c r="E58" s="62" t="s">
        <v>33</v>
      </c>
      <c r="F58" s="62" t="s">
        <v>33</v>
      </c>
      <c r="G58" s="62">
        <v>0</v>
      </c>
      <c r="H58" s="62" t="s">
        <v>33</v>
      </c>
      <c r="I58" s="62" t="s">
        <v>33</v>
      </c>
      <c r="J58" s="62" t="s">
        <v>33</v>
      </c>
      <c r="K58" s="62">
        <v>0</v>
      </c>
      <c r="L58" s="62" t="s">
        <v>33</v>
      </c>
      <c r="M58" s="62" t="s">
        <v>33</v>
      </c>
      <c r="N58" s="62" t="s">
        <v>33</v>
      </c>
    </row>
    <row r="59" spans="1:14" x14ac:dyDescent="0.35">
      <c r="A59" s="47" t="s">
        <v>224</v>
      </c>
      <c r="B59" s="47" t="s">
        <v>223</v>
      </c>
      <c r="C59" s="73">
        <v>0</v>
      </c>
      <c r="D59" s="73" t="s">
        <v>33</v>
      </c>
      <c r="E59" s="73" t="s">
        <v>33</v>
      </c>
      <c r="F59" s="73" t="s">
        <v>33</v>
      </c>
      <c r="G59" s="73">
        <v>0</v>
      </c>
      <c r="H59" s="73" t="s">
        <v>33</v>
      </c>
      <c r="I59" s="73" t="s">
        <v>33</v>
      </c>
      <c r="J59" s="73" t="s">
        <v>33</v>
      </c>
      <c r="K59" s="73">
        <v>0</v>
      </c>
      <c r="L59" s="73" t="s">
        <v>33</v>
      </c>
      <c r="M59" s="73" t="s">
        <v>33</v>
      </c>
      <c r="N59" s="73" t="s">
        <v>33</v>
      </c>
    </row>
    <row r="60" spans="1:14" x14ac:dyDescent="0.35">
      <c r="A60" s="47" t="s">
        <v>222</v>
      </c>
      <c r="B60" s="47" t="s">
        <v>221</v>
      </c>
      <c r="C60" s="73">
        <v>0</v>
      </c>
      <c r="D60" s="73" t="s">
        <v>33</v>
      </c>
      <c r="E60" s="73" t="s">
        <v>33</v>
      </c>
      <c r="F60" s="73" t="s">
        <v>33</v>
      </c>
      <c r="G60" s="73">
        <v>0</v>
      </c>
      <c r="H60" s="73" t="s">
        <v>33</v>
      </c>
      <c r="I60" s="73" t="s">
        <v>33</v>
      </c>
      <c r="J60" s="73" t="s">
        <v>33</v>
      </c>
      <c r="K60" s="73">
        <v>0</v>
      </c>
      <c r="L60" s="73" t="s">
        <v>33</v>
      </c>
      <c r="M60" s="73" t="s">
        <v>33</v>
      </c>
      <c r="N60" s="73" t="s">
        <v>33</v>
      </c>
    </row>
    <row r="61" spans="1:14" x14ac:dyDescent="0.35">
      <c r="A61" s="49" t="s">
        <v>220</v>
      </c>
      <c r="B61" s="49" t="s">
        <v>219</v>
      </c>
      <c r="C61" s="62">
        <v>0</v>
      </c>
      <c r="D61" s="62" t="s">
        <v>33</v>
      </c>
      <c r="E61" s="62" t="s">
        <v>33</v>
      </c>
      <c r="F61" s="62" t="s">
        <v>33</v>
      </c>
      <c r="G61" s="62">
        <v>0</v>
      </c>
      <c r="H61" s="62" t="s">
        <v>33</v>
      </c>
      <c r="I61" s="62" t="s">
        <v>33</v>
      </c>
      <c r="J61" s="62" t="s">
        <v>33</v>
      </c>
      <c r="K61" s="62">
        <v>0</v>
      </c>
      <c r="L61" s="62" t="s">
        <v>33</v>
      </c>
      <c r="M61" s="62" t="s">
        <v>33</v>
      </c>
      <c r="N61" s="62" t="s">
        <v>33</v>
      </c>
    </row>
    <row r="62" spans="1:14" x14ac:dyDescent="0.35">
      <c r="A62" s="49" t="s">
        <v>218</v>
      </c>
      <c r="B62" s="49" t="s">
        <v>217</v>
      </c>
      <c r="C62" s="62">
        <v>0</v>
      </c>
      <c r="D62" s="62" t="s">
        <v>33</v>
      </c>
      <c r="E62" s="62" t="s">
        <v>33</v>
      </c>
      <c r="F62" s="62" t="s">
        <v>33</v>
      </c>
      <c r="G62" s="62">
        <v>0</v>
      </c>
      <c r="H62" s="62" t="s">
        <v>33</v>
      </c>
      <c r="I62" s="62" t="s">
        <v>33</v>
      </c>
      <c r="J62" s="62" t="s">
        <v>33</v>
      </c>
      <c r="K62" s="62">
        <v>0</v>
      </c>
      <c r="L62" s="62" t="s">
        <v>33</v>
      </c>
      <c r="M62" s="62" t="s">
        <v>33</v>
      </c>
      <c r="N62" s="62" t="s">
        <v>33</v>
      </c>
    </row>
    <row r="63" spans="1:14" x14ac:dyDescent="0.35">
      <c r="A63" s="49" t="s">
        <v>216</v>
      </c>
      <c r="B63" s="49" t="s">
        <v>215</v>
      </c>
      <c r="C63" s="62">
        <v>22.838999999999999</v>
      </c>
      <c r="D63" s="62">
        <v>18.033000000000001</v>
      </c>
      <c r="E63" s="62">
        <v>22.524000000000001</v>
      </c>
      <c r="F63" s="62">
        <v>27.273</v>
      </c>
      <c r="G63" s="62">
        <v>33.414999999999999</v>
      </c>
      <c r="H63" s="62">
        <v>34.295999999999999</v>
      </c>
      <c r="I63" s="62">
        <v>35.854999999999997</v>
      </c>
      <c r="J63" s="62">
        <v>36.792000000000002</v>
      </c>
      <c r="K63" s="62">
        <v>39.034999999999997</v>
      </c>
      <c r="L63" s="62">
        <v>40.78</v>
      </c>
      <c r="M63" s="62">
        <v>42.426000000000002</v>
      </c>
      <c r="N63" s="62">
        <v>43.531999999999996</v>
      </c>
    </row>
    <row r="64" spans="1:14" s="1" customFormat="1" x14ac:dyDescent="0.35">
      <c r="A64" s="98" t="s">
        <v>214</v>
      </c>
      <c r="B64" s="98" t="s">
        <v>213</v>
      </c>
      <c r="C64" s="99">
        <v>22.838999999999999</v>
      </c>
      <c r="D64" s="99">
        <v>18.033000000000001</v>
      </c>
      <c r="E64" s="99">
        <v>22.524000000000001</v>
      </c>
      <c r="F64" s="99">
        <v>27.273</v>
      </c>
      <c r="G64" s="99">
        <v>33.414999999999999</v>
      </c>
      <c r="H64" s="99">
        <v>34.295999999999999</v>
      </c>
      <c r="I64" s="99">
        <v>35.854999999999997</v>
      </c>
      <c r="J64" s="99">
        <v>36.792000000000002</v>
      </c>
      <c r="K64" s="99">
        <v>39.034999999999997</v>
      </c>
      <c r="L64" s="99">
        <v>40.78</v>
      </c>
      <c r="M64" s="99">
        <v>42.426000000000002</v>
      </c>
      <c r="N64" s="99">
        <v>43.531999999999996</v>
      </c>
    </row>
    <row r="65" spans="1:14" x14ac:dyDescent="0.35">
      <c r="A65" s="48" t="s">
        <v>212</v>
      </c>
      <c r="B65" s="48" t="s">
        <v>211</v>
      </c>
      <c r="C65" s="68">
        <v>198.17699999999999</v>
      </c>
      <c r="D65" s="68">
        <v>188.88800000000001</v>
      </c>
      <c r="E65" s="68">
        <v>209.637</v>
      </c>
      <c r="F65" s="68">
        <v>225.833</v>
      </c>
      <c r="G65" s="68">
        <v>235.226</v>
      </c>
      <c r="H65" s="68">
        <v>234.87100000000001</v>
      </c>
      <c r="I65" s="68">
        <v>258.77999999999997</v>
      </c>
      <c r="J65" s="68">
        <v>281.303</v>
      </c>
      <c r="K65" s="68">
        <v>310.70699999999999</v>
      </c>
      <c r="L65" s="68">
        <v>315.52999999999997</v>
      </c>
      <c r="M65" s="68">
        <v>341.41500000000002</v>
      </c>
      <c r="N65" s="68">
        <v>386.58300000000003</v>
      </c>
    </row>
    <row r="66" spans="1:14" x14ac:dyDescent="0.35">
      <c r="A66" s="49" t="s">
        <v>210</v>
      </c>
      <c r="B66" s="49" t="s">
        <v>209</v>
      </c>
      <c r="C66" s="62">
        <v>0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</row>
    <row r="67" spans="1:14" x14ac:dyDescent="0.35">
      <c r="A67" s="49" t="s">
        <v>208</v>
      </c>
      <c r="B67" s="49" t="s">
        <v>207</v>
      </c>
      <c r="C67" s="62">
        <v>729.58600000000001</v>
      </c>
      <c r="D67" s="62">
        <v>759.77599999999995</v>
      </c>
      <c r="E67" s="62">
        <v>742.89400000000001</v>
      </c>
      <c r="F67" s="62">
        <v>775.53099999999995</v>
      </c>
      <c r="G67" s="62">
        <v>783.41800000000001</v>
      </c>
      <c r="H67" s="62">
        <v>789.46100000000001</v>
      </c>
      <c r="I67" s="62">
        <v>775.81399999999996</v>
      </c>
      <c r="J67" s="62">
        <v>810.12400000000002</v>
      </c>
      <c r="K67" s="62">
        <v>821.51499999999999</v>
      </c>
      <c r="L67" s="62">
        <v>824.07100000000003</v>
      </c>
      <c r="M67" s="62">
        <v>821.82299999999998</v>
      </c>
      <c r="N67" s="62">
        <v>854.43</v>
      </c>
    </row>
    <row r="68" spans="1:14" x14ac:dyDescent="0.35">
      <c r="A68" s="49" t="s">
        <v>206</v>
      </c>
      <c r="B68" s="49" t="s">
        <v>205</v>
      </c>
      <c r="C68" s="62">
        <v>8.0000000000000002E-3</v>
      </c>
      <c r="D68" s="62">
        <v>8.0000000000000002E-3</v>
      </c>
      <c r="E68" s="62">
        <v>8.0000000000000002E-3</v>
      </c>
      <c r="F68" s="62">
        <v>8.0000000000000002E-3</v>
      </c>
      <c r="G68" s="62">
        <v>8.0000000000000002E-3</v>
      </c>
      <c r="H68" s="62">
        <v>8.0000000000000002E-3</v>
      </c>
      <c r="I68" s="62">
        <v>8.0000000000000002E-3</v>
      </c>
      <c r="J68" s="62">
        <v>8.0000000000000002E-3</v>
      </c>
      <c r="K68" s="62">
        <v>8.0000000000000002E-3</v>
      </c>
      <c r="L68" s="62">
        <v>8.0000000000000002E-3</v>
      </c>
      <c r="M68" s="62">
        <v>8.0000000000000002E-3</v>
      </c>
      <c r="N68" s="62">
        <v>8.0000000000000002E-3</v>
      </c>
    </row>
    <row r="69" spans="1:14" x14ac:dyDescent="0.35">
      <c r="A69" s="49" t="s">
        <v>204</v>
      </c>
      <c r="B69" s="49" t="s">
        <v>203</v>
      </c>
      <c r="C69" s="62">
        <v>729.57799999999997</v>
      </c>
      <c r="D69" s="62">
        <v>759.76800000000003</v>
      </c>
      <c r="E69" s="62">
        <v>742.88599999999997</v>
      </c>
      <c r="F69" s="62">
        <v>775.52300000000002</v>
      </c>
      <c r="G69" s="62">
        <v>783.41</v>
      </c>
      <c r="H69" s="62">
        <v>789.45299999999997</v>
      </c>
      <c r="I69" s="62">
        <v>775.80600000000004</v>
      </c>
      <c r="J69" s="62">
        <v>810.11599999999999</v>
      </c>
      <c r="K69" s="62">
        <v>821.50699999999995</v>
      </c>
      <c r="L69" s="62">
        <v>824.06299999999999</v>
      </c>
      <c r="M69" s="62">
        <v>821.81500000000005</v>
      </c>
      <c r="N69" s="62">
        <v>854.42200000000003</v>
      </c>
    </row>
    <row r="70" spans="1:14" x14ac:dyDescent="0.35">
      <c r="A70" s="49" t="s">
        <v>202</v>
      </c>
      <c r="B70" s="49" t="s">
        <v>201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</row>
    <row r="71" spans="1:14" x14ac:dyDescent="0.35">
      <c r="A71" s="49" t="s">
        <v>200</v>
      </c>
      <c r="B71" s="49" t="s">
        <v>199</v>
      </c>
      <c r="C71" s="62">
        <v>-95.91</v>
      </c>
      <c r="D71" s="62">
        <v>-63.465000000000003</v>
      </c>
      <c r="E71" s="62">
        <v>-67.605999999999995</v>
      </c>
      <c r="F71" s="62">
        <v>-53.134999999999998</v>
      </c>
      <c r="G71" s="62">
        <v>-30.507000000000001</v>
      </c>
      <c r="H71" s="62">
        <v>4.1790000000000003</v>
      </c>
      <c r="I71" s="62">
        <v>-5.8259999999999996</v>
      </c>
      <c r="J71" s="62">
        <v>-11.89</v>
      </c>
      <c r="K71" s="62">
        <v>27.390999999999998</v>
      </c>
      <c r="L71" s="62">
        <v>67.936999999999998</v>
      </c>
      <c r="M71" s="62">
        <v>87.606999999999999</v>
      </c>
      <c r="N71" s="62">
        <v>117.965</v>
      </c>
    </row>
    <row r="72" spans="1:14" x14ac:dyDescent="0.35">
      <c r="A72" s="49" t="s">
        <v>198</v>
      </c>
      <c r="B72" s="49" t="s">
        <v>197</v>
      </c>
      <c r="C72" s="62">
        <v>0.29399999999999998</v>
      </c>
      <c r="D72" s="62">
        <v>0.442</v>
      </c>
      <c r="E72" s="62">
        <v>0.50800000000000001</v>
      </c>
      <c r="F72" s="62">
        <v>0.06</v>
      </c>
      <c r="G72" s="62">
        <v>-0.14000000000000001</v>
      </c>
      <c r="H72" s="62">
        <v>-0.106</v>
      </c>
      <c r="I72" s="62">
        <v>-0.187</v>
      </c>
      <c r="J72" s="62">
        <v>2.5000000000000001E-2</v>
      </c>
      <c r="K72" s="62">
        <v>-0.98</v>
      </c>
      <c r="L72" s="62">
        <v>2.1999999999999999E-2</v>
      </c>
      <c r="M72" s="62">
        <v>0.42799999999999999</v>
      </c>
      <c r="N72" s="62">
        <v>-8.5000000000000006E-2</v>
      </c>
    </row>
    <row r="73" spans="1:14" x14ac:dyDescent="0.35">
      <c r="A73" s="48" t="s">
        <v>196</v>
      </c>
      <c r="B73" s="48" t="s">
        <v>195</v>
      </c>
      <c r="C73" s="68">
        <v>633.97</v>
      </c>
      <c r="D73" s="68">
        <v>696.75300000000004</v>
      </c>
      <c r="E73" s="68">
        <v>675.79600000000005</v>
      </c>
      <c r="F73" s="68">
        <v>722.45600000000002</v>
      </c>
      <c r="G73" s="68">
        <v>752.77099999999996</v>
      </c>
      <c r="H73" s="68">
        <v>793.53399999999999</v>
      </c>
      <c r="I73" s="68">
        <v>769.80100000000004</v>
      </c>
      <c r="J73" s="68">
        <v>798.25900000000001</v>
      </c>
      <c r="K73" s="68">
        <v>847.92600000000004</v>
      </c>
      <c r="L73" s="68">
        <v>892.03</v>
      </c>
      <c r="M73" s="68">
        <v>909.85799999999995</v>
      </c>
      <c r="N73" s="68">
        <v>972.31</v>
      </c>
    </row>
    <row r="74" spans="1:14" x14ac:dyDescent="0.35">
      <c r="A74" s="49" t="s">
        <v>194</v>
      </c>
      <c r="B74" s="49" t="s">
        <v>193</v>
      </c>
      <c r="C74" s="62">
        <v>0</v>
      </c>
      <c r="D74" s="62">
        <v>0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</row>
    <row r="75" spans="1:14" s="1" customFormat="1" x14ac:dyDescent="0.35">
      <c r="A75" s="98" t="s">
        <v>192</v>
      </c>
      <c r="B75" s="98" t="s">
        <v>191</v>
      </c>
      <c r="C75" s="99">
        <v>633.97</v>
      </c>
      <c r="D75" s="99">
        <v>696.75300000000004</v>
      </c>
      <c r="E75" s="99">
        <v>675.79600000000005</v>
      </c>
      <c r="F75" s="99">
        <v>722.45600000000002</v>
      </c>
      <c r="G75" s="99">
        <v>752.77099999999996</v>
      </c>
      <c r="H75" s="99">
        <v>793.53399999999999</v>
      </c>
      <c r="I75" s="99">
        <v>769.80100000000004</v>
      </c>
      <c r="J75" s="99">
        <v>798.25900000000001</v>
      </c>
      <c r="K75" s="99">
        <v>847.92600000000004</v>
      </c>
      <c r="L75" s="99">
        <v>892.03</v>
      </c>
      <c r="M75" s="99">
        <v>909.85799999999995</v>
      </c>
      <c r="N75" s="99">
        <v>972.31</v>
      </c>
    </row>
    <row r="76" spans="1:14" x14ac:dyDescent="0.35">
      <c r="A76" s="48" t="s">
        <v>190</v>
      </c>
      <c r="B76" s="48" t="s">
        <v>189</v>
      </c>
      <c r="C76" s="68">
        <v>832.14700000000005</v>
      </c>
      <c r="D76" s="68">
        <v>885.64099999999996</v>
      </c>
      <c r="E76" s="68">
        <v>885.43299999999999</v>
      </c>
      <c r="F76" s="68">
        <v>948.28899999999999</v>
      </c>
      <c r="G76" s="68">
        <v>987.99699999999996</v>
      </c>
      <c r="H76" s="68">
        <v>1028.405</v>
      </c>
      <c r="I76" s="68">
        <v>1028.5809999999999</v>
      </c>
      <c r="J76" s="68">
        <v>1079.5619999999999</v>
      </c>
      <c r="K76" s="68">
        <v>1158.633</v>
      </c>
      <c r="L76" s="68">
        <v>1207.56</v>
      </c>
      <c r="M76" s="68">
        <v>1251.2729999999999</v>
      </c>
      <c r="N76" s="68">
        <v>1358.893</v>
      </c>
    </row>
    <row r="77" spans="1:14" x14ac:dyDescent="0.35">
      <c r="A77" s="48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4" x14ac:dyDescent="0.35">
      <c r="A78" s="48" t="s">
        <v>2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4" x14ac:dyDescent="0.35">
      <c r="A79" s="49" t="s">
        <v>136</v>
      </c>
      <c r="B79" s="49" t="s">
        <v>137</v>
      </c>
      <c r="C79" s="61" t="s">
        <v>138</v>
      </c>
      <c r="D79" s="61" t="s">
        <v>138</v>
      </c>
      <c r="E79" s="61" t="s">
        <v>138</v>
      </c>
      <c r="F79" s="61" t="s">
        <v>138</v>
      </c>
      <c r="G79" s="61" t="s">
        <v>138</v>
      </c>
      <c r="H79" s="61" t="s">
        <v>138</v>
      </c>
      <c r="I79" s="61" t="s">
        <v>138</v>
      </c>
      <c r="J79" s="61" t="s">
        <v>138</v>
      </c>
      <c r="K79" s="61" t="s">
        <v>138</v>
      </c>
      <c r="L79" s="61" t="s">
        <v>138</v>
      </c>
      <c r="M79" s="61" t="s">
        <v>138</v>
      </c>
      <c r="N79" s="61" t="s">
        <v>138</v>
      </c>
    </row>
    <row r="80" spans="1:14" s="1" customFormat="1" x14ac:dyDescent="0.35">
      <c r="A80" s="85" t="s">
        <v>188</v>
      </c>
      <c r="B80" s="85" t="s">
        <v>187</v>
      </c>
      <c r="C80" s="86">
        <v>80.582999999999998</v>
      </c>
      <c r="D80" s="86">
        <v>81.632000000000005</v>
      </c>
      <c r="E80" s="86">
        <v>80.783000000000001</v>
      </c>
      <c r="F80" s="86">
        <v>80.516000000000005</v>
      </c>
      <c r="G80" s="86">
        <v>80.204999999999998</v>
      </c>
      <c r="H80" s="86">
        <v>80.733999999999995</v>
      </c>
      <c r="I80" s="86">
        <v>80.069000000000003</v>
      </c>
      <c r="J80" s="86">
        <v>79.563999999999993</v>
      </c>
      <c r="K80" s="86">
        <v>79.5</v>
      </c>
      <c r="L80" s="86">
        <v>80.174999999999997</v>
      </c>
      <c r="M80" s="86">
        <v>79.867999999999995</v>
      </c>
      <c r="N80" s="86">
        <v>79.867000000000004</v>
      </c>
    </row>
    <row r="81" spans="1:17" x14ac:dyDescent="0.35">
      <c r="A81" s="49" t="s">
        <v>186</v>
      </c>
      <c r="B81" s="49" t="s">
        <v>185</v>
      </c>
      <c r="C81" s="62">
        <v>0</v>
      </c>
      <c r="D81" s="62">
        <v>0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</row>
    <row r="82" spans="1:17" x14ac:dyDescent="0.35">
      <c r="A82" s="49" t="s">
        <v>184</v>
      </c>
      <c r="B82" s="49" t="s">
        <v>183</v>
      </c>
      <c r="C82" s="62">
        <v>28.273</v>
      </c>
      <c r="D82" s="62">
        <v>29.565999999999999</v>
      </c>
      <c r="E82" s="62">
        <v>27.352</v>
      </c>
      <c r="F82" s="62">
        <v>24.725000000000001</v>
      </c>
      <c r="G82" s="62">
        <v>24.045999999999999</v>
      </c>
      <c r="H82" s="62">
        <v>24.306999999999999</v>
      </c>
      <c r="I82" s="62">
        <v>24.117999999999999</v>
      </c>
      <c r="J82" s="62">
        <v>21.904</v>
      </c>
      <c r="K82" s="62">
        <v>19.75</v>
      </c>
      <c r="L82" s="62">
        <v>19.41</v>
      </c>
      <c r="M82" s="62">
        <v>17.341999999999999</v>
      </c>
      <c r="N82" s="62">
        <v>32.616999999999997</v>
      </c>
    </row>
    <row r="83" spans="1:17" x14ac:dyDescent="0.35">
      <c r="A83" s="49" t="s">
        <v>182</v>
      </c>
      <c r="B83" s="49" t="s">
        <v>181</v>
      </c>
      <c r="C83" s="62">
        <v>0</v>
      </c>
      <c r="D83" s="62" t="s">
        <v>33</v>
      </c>
      <c r="E83" s="62" t="s">
        <v>33</v>
      </c>
      <c r="F83" s="62" t="s">
        <v>33</v>
      </c>
      <c r="G83" s="62">
        <v>0</v>
      </c>
      <c r="H83" s="62" t="s">
        <v>33</v>
      </c>
      <c r="I83" s="62" t="s">
        <v>33</v>
      </c>
      <c r="J83" s="62" t="s">
        <v>33</v>
      </c>
      <c r="K83" s="62">
        <v>0</v>
      </c>
      <c r="L83" s="62" t="s">
        <v>33</v>
      </c>
      <c r="M83" s="62" t="s">
        <v>33</v>
      </c>
      <c r="N83" s="62" t="s">
        <v>33</v>
      </c>
    </row>
    <row r="84" spans="1:17" x14ac:dyDescent="0.35">
      <c r="A84" s="49" t="s">
        <v>180</v>
      </c>
      <c r="B84" s="49" t="s">
        <v>179</v>
      </c>
      <c r="C84" s="62">
        <v>0</v>
      </c>
      <c r="D84" s="62">
        <v>0</v>
      </c>
      <c r="E84" s="62">
        <v>0</v>
      </c>
      <c r="F84" s="62">
        <v>0</v>
      </c>
      <c r="G84" s="62">
        <v>0</v>
      </c>
      <c r="H84" s="62">
        <v>0</v>
      </c>
      <c r="I84" s="62">
        <v>0</v>
      </c>
      <c r="J84" s="62">
        <v>0</v>
      </c>
      <c r="K84" s="62">
        <v>0</v>
      </c>
      <c r="L84" s="62">
        <v>0</v>
      </c>
      <c r="M84" s="62">
        <v>0</v>
      </c>
      <c r="N84" s="62">
        <v>0</v>
      </c>
      <c r="Q84" s="1"/>
    </row>
    <row r="85" spans="1:17" x14ac:dyDescent="0.35">
      <c r="A85" s="49" t="s">
        <v>178</v>
      </c>
      <c r="B85" s="49" t="s">
        <v>177</v>
      </c>
      <c r="C85" s="62">
        <v>1.321</v>
      </c>
      <c r="D85" s="62">
        <v>0.84799999999999998</v>
      </c>
      <c r="E85" s="62">
        <v>0.80500000000000005</v>
      </c>
      <c r="F85" s="62">
        <v>0.71899999999999997</v>
      </c>
      <c r="G85" s="62">
        <v>0.66800000000000004</v>
      </c>
      <c r="H85" s="62">
        <v>0.64</v>
      </c>
      <c r="I85" s="62">
        <v>0.55600000000000005</v>
      </c>
      <c r="J85" s="62">
        <v>0.53900000000000003</v>
      </c>
      <c r="K85" s="62">
        <v>0.496</v>
      </c>
      <c r="L85" s="62">
        <v>0.46600000000000003</v>
      </c>
      <c r="M85" s="62">
        <v>0.36599999999999999</v>
      </c>
      <c r="N85" s="62">
        <v>0.27200000000000002</v>
      </c>
    </row>
    <row r="86" spans="1:17" x14ac:dyDescent="0.35">
      <c r="A86" s="49" t="s">
        <v>176</v>
      </c>
      <c r="B86" s="49" t="s">
        <v>175</v>
      </c>
      <c r="C86" s="62">
        <v>-471.971</v>
      </c>
      <c r="D86" s="62">
        <v>-505.37200000000001</v>
      </c>
      <c r="E86" s="62">
        <v>-502.678</v>
      </c>
      <c r="F86" s="62">
        <v>-561.51300000000003</v>
      </c>
      <c r="G86" s="62">
        <v>-602.54999999999995</v>
      </c>
      <c r="H86" s="62">
        <v>-612.97199999999998</v>
      </c>
      <c r="I86" s="62">
        <v>-596.70299999999997</v>
      </c>
      <c r="J86" s="62">
        <v>-630.00099999999998</v>
      </c>
      <c r="K86" s="62">
        <v>-678.66499999999996</v>
      </c>
      <c r="L86" s="62">
        <v>-680.76800000000003</v>
      </c>
      <c r="M86" s="62">
        <v>-684.971</v>
      </c>
      <c r="N86" s="62">
        <v>-675.78599999999994</v>
      </c>
    </row>
    <row r="87" spans="1:17" x14ac:dyDescent="0.35">
      <c r="A87" s="49" t="s">
        <v>174</v>
      </c>
      <c r="B87" s="49" t="s">
        <v>173</v>
      </c>
      <c r="C87" s="63">
        <v>-74.446898000000004</v>
      </c>
      <c r="D87" s="63">
        <v>-72.532447000000005</v>
      </c>
      <c r="E87" s="63">
        <v>-74.383098000000004</v>
      </c>
      <c r="F87" s="63">
        <v>-77.722796000000002</v>
      </c>
      <c r="G87" s="63">
        <v>-80.044263000000001</v>
      </c>
      <c r="H87" s="63">
        <v>-77.245839000000004</v>
      </c>
      <c r="I87" s="63">
        <v>-77.513929000000005</v>
      </c>
      <c r="J87" s="63">
        <v>-78.921879000000004</v>
      </c>
      <c r="K87" s="63">
        <v>-80.038234000000003</v>
      </c>
      <c r="L87" s="63">
        <v>-76.316716</v>
      </c>
      <c r="M87" s="63">
        <v>-75.283286000000004</v>
      </c>
      <c r="N87" s="63">
        <v>-69.503141999999997</v>
      </c>
    </row>
    <row r="88" spans="1:17" x14ac:dyDescent="0.35">
      <c r="A88" s="49" t="s">
        <v>172</v>
      </c>
      <c r="B88" s="49" t="s">
        <v>171</v>
      </c>
      <c r="C88" s="63">
        <v>73.462643</v>
      </c>
      <c r="D88" s="63">
        <v>76.425922999999997</v>
      </c>
      <c r="E88" s="63">
        <v>73.848918999999995</v>
      </c>
      <c r="F88" s="63">
        <v>73.903090000000006</v>
      </c>
      <c r="G88" s="63">
        <v>74.035173999999998</v>
      </c>
      <c r="H88" s="63">
        <v>75.201846000000003</v>
      </c>
      <c r="I88" s="63">
        <v>72.702271999999994</v>
      </c>
      <c r="J88" s="63">
        <v>71.865395000000007</v>
      </c>
      <c r="K88" s="63">
        <v>71.216735</v>
      </c>
      <c r="L88" s="63">
        <v>72.051119999999997</v>
      </c>
      <c r="M88" s="63">
        <v>70.757345999999998</v>
      </c>
      <c r="N88" s="63">
        <v>69.701295000000002</v>
      </c>
    </row>
    <row r="89" spans="1:17" x14ac:dyDescent="0.35">
      <c r="A89" s="49" t="s">
        <v>170</v>
      </c>
      <c r="B89" s="49" t="s">
        <v>169</v>
      </c>
      <c r="C89" s="63">
        <v>3.1064340000000001</v>
      </c>
      <c r="D89" s="63">
        <v>3.231846</v>
      </c>
      <c r="E89" s="63">
        <v>2.963514</v>
      </c>
      <c r="F89" s="63">
        <v>3.1006849999999999</v>
      </c>
      <c r="G89" s="63">
        <v>3.2563140000000002</v>
      </c>
      <c r="H89" s="63">
        <v>3.2771379999999999</v>
      </c>
      <c r="I89" s="63">
        <v>2.951244</v>
      </c>
      <c r="J89" s="63">
        <v>2.9108420000000002</v>
      </c>
      <c r="K89" s="63">
        <v>2.6944620000000001</v>
      </c>
      <c r="L89" s="63">
        <v>2.8498739999999998</v>
      </c>
      <c r="M89" s="63">
        <v>2.7606600000000001</v>
      </c>
      <c r="N89" s="63">
        <v>2.6578210000000002</v>
      </c>
    </row>
    <row r="90" spans="1:17" x14ac:dyDescent="0.35">
      <c r="A90" s="49" t="s">
        <v>168</v>
      </c>
      <c r="B90" s="49" t="s">
        <v>167</v>
      </c>
      <c r="C90" s="63">
        <v>49.16292</v>
      </c>
      <c r="D90" s="63">
        <v>54.743614999999998</v>
      </c>
      <c r="E90" s="63">
        <v>46.811303000000002</v>
      </c>
      <c r="F90" s="63">
        <v>45.797345</v>
      </c>
      <c r="G90" s="63">
        <v>47.631397999999997</v>
      </c>
      <c r="H90" s="63">
        <v>48.842897000000001</v>
      </c>
      <c r="I90" s="63">
        <v>44.407682000000001</v>
      </c>
      <c r="J90" s="63">
        <v>42.551684000000002</v>
      </c>
      <c r="K90" s="63">
        <v>43.362648</v>
      </c>
      <c r="L90" s="63">
        <v>46.805317000000002</v>
      </c>
      <c r="M90" s="63">
        <v>50.190556999999998</v>
      </c>
      <c r="N90" s="63">
        <v>57.179001</v>
      </c>
    </row>
    <row r="91" spans="1:17" x14ac:dyDescent="0.35">
      <c r="A91" s="49" t="s">
        <v>166</v>
      </c>
      <c r="B91" s="49" t="s">
        <v>165</v>
      </c>
      <c r="C91" s="63">
        <v>3420</v>
      </c>
      <c r="D91" s="63" t="s">
        <v>33</v>
      </c>
      <c r="E91" s="63" t="s">
        <v>33</v>
      </c>
      <c r="F91" s="63" t="s">
        <v>33</v>
      </c>
      <c r="G91" s="63">
        <v>3580</v>
      </c>
      <c r="H91" s="63" t="s">
        <v>33</v>
      </c>
      <c r="I91" s="63" t="s">
        <v>33</v>
      </c>
      <c r="J91" s="63" t="s">
        <v>33</v>
      </c>
      <c r="K91" s="63">
        <v>4375</v>
      </c>
      <c r="L91" s="63" t="s">
        <v>33</v>
      </c>
      <c r="M91" s="63" t="s">
        <v>33</v>
      </c>
      <c r="N91" s="63" t="s">
        <v>33</v>
      </c>
    </row>
    <row r="92" spans="1:17" x14ac:dyDescent="0.35">
      <c r="A92" s="56" t="s">
        <v>164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3"/>
  <sheetViews>
    <sheetView topLeftCell="O5" zoomScale="70" zoomScaleNormal="70" workbookViewId="0">
      <selection activeCell="B20" sqref="B20"/>
    </sheetView>
  </sheetViews>
  <sheetFormatPr defaultRowHeight="14.5" x14ac:dyDescent="0.35"/>
  <cols>
    <col min="1" max="1" width="56.54296875" bestFit="1" customWidth="1"/>
    <col min="2" max="2" width="32" bestFit="1" customWidth="1"/>
    <col min="3" max="5" width="20.26953125" bestFit="1" customWidth="1"/>
    <col min="6" max="6" width="20.7265625" bestFit="1" customWidth="1"/>
    <col min="7" max="7" width="22.453125" bestFit="1" customWidth="1"/>
    <col min="8" max="8" width="20.26953125" bestFit="1" customWidth="1"/>
    <col min="9" max="9" width="19.54296875" bestFit="1" customWidth="1"/>
    <col min="10" max="11" width="20.7265625" bestFit="1" customWidth="1"/>
    <col min="12" max="12" width="22" bestFit="1" customWidth="1"/>
    <col min="19" max="19" width="32.81640625" bestFit="1" customWidth="1"/>
    <col min="20" max="20" width="12" customWidth="1"/>
    <col min="22" max="22" width="11.26953125" customWidth="1"/>
    <col min="23" max="23" width="10" bestFit="1" customWidth="1"/>
    <col min="25" max="26" width="16" bestFit="1" customWidth="1"/>
    <col min="27" max="27" width="18.54296875" customWidth="1"/>
    <col min="28" max="28" width="16.7265625" bestFit="1" customWidth="1"/>
    <col min="29" max="30" width="17.81640625" bestFit="1" customWidth="1"/>
    <col min="31" max="31" width="17" bestFit="1" customWidth="1"/>
    <col min="32" max="32" width="18.81640625" bestFit="1" customWidth="1"/>
    <col min="33" max="33" width="18.26953125" bestFit="1" customWidth="1"/>
    <col min="34" max="34" width="18.54296875" bestFit="1" customWidth="1"/>
    <col min="35" max="35" width="13.7265625" bestFit="1" customWidth="1"/>
  </cols>
  <sheetData>
    <row r="1" spans="1:30" ht="18.5" x14ac:dyDescent="0.45">
      <c r="A1" s="11" t="s">
        <v>504</v>
      </c>
    </row>
    <row r="3" spans="1:30" s="1" customFormat="1" x14ac:dyDescent="0.35">
      <c r="A3" s="1" t="s">
        <v>503</v>
      </c>
      <c r="C3" s="1">
        <v>2004</v>
      </c>
      <c r="D3" s="1">
        <v>2005</v>
      </c>
      <c r="E3" s="1">
        <v>2006</v>
      </c>
      <c r="F3" s="1">
        <v>2007</v>
      </c>
      <c r="G3" s="1">
        <v>2008</v>
      </c>
      <c r="H3" s="1">
        <v>2009</v>
      </c>
      <c r="I3" s="1">
        <v>2010</v>
      </c>
      <c r="J3" s="1">
        <v>2011</v>
      </c>
      <c r="K3" s="1">
        <v>2012</v>
      </c>
      <c r="L3" s="1">
        <v>2013</v>
      </c>
      <c r="M3" s="1">
        <v>2014</v>
      </c>
      <c r="N3" s="1">
        <v>2015</v>
      </c>
      <c r="O3" s="1">
        <v>2016</v>
      </c>
      <c r="P3" s="1">
        <v>2017</v>
      </c>
      <c r="Q3" s="1">
        <v>2018</v>
      </c>
      <c r="R3" s="1">
        <v>2019</v>
      </c>
      <c r="S3" s="1">
        <v>2020</v>
      </c>
      <c r="T3" s="1" t="s">
        <v>502</v>
      </c>
    </row>
    <row r="4" spans="1:30" ht="15.5" x14ac:dyDescent="0.35">
      <c r="A4" t="s">
        <v>501</v>
      </c>
      <c r="C4" s="5"/>
      <c r="D4" s="5"/>
      <c r="E4" s="5"/>
      <c r="F4" s="5">
        <f>'ALGN(IS)'!C25</f>
        <v>32.058999999999997</v>
      </c>
      <c r="G4" s="5">
        <f>'ALGN(IS)'!D25</f>
        <v>21.745000000000001</v>
      </c>
      <c r="H4" s="5">
        <f>'ALGN(IS)'!E25</f>
        <v>36.979999999999997</v>
      </c>
      <c r="I4" s="5">
        <f>'ALGN(IS)'!F25</f>
        <v>98.617000000000004</v>
      </c>
      <c r="J4" s="5">
        <f>'ALGN(IS)'!G25</f>
        <v>101.47199999999999</v>
      </c>
      <c r="K4" s="5">
        <f>'ALGN(IS)'!H25</f>
        <v>124.23399999999999</v>
      </c>
      <c r="L4" s="5">
        <f>'ALGN(IS)'!I25</f>
        <v>161.22499999999999</v>
      </c>
      <c r="M4" s="5">
        <f>'ALGN(IS)'!J25</f>
        <v>193.57599999999999</v>
      </c>
      <c r="N4" s="5">
        <f>'ALGN(IS)'!K25</f>
        <v>188.63399999999999</v>
      </c>
      <c r="O4" s="94">
        <f>'ALGN(IS)'!L25</f>
        <v>230.92336375000002</v>
      </c>
      <c r="P4" s="94">
        <f>'ALGN(IS)'!M25</f>
        <v>265.5618683125</v>
      </c>
      <c r="Q4" s="94">
        <f>'ALGN(IS)'!N25</f>
        <v>297.42929250999987</v>
      </c>
      <c r="R4" s="94">
        <f>'ALGN(IS)'!O25</f>
        <v>327.17222176099995</v>
      </c>
      <c r="S4" s="94">
        <f>'ALGN(IS)'!P25</f>
        <v>359.88944393709994</v>
      </c>
      <c r="V4" s="111">
        <f>(S4/O4)^(1/COUNT(O4:S4))-1</f>
        <v>9.2798893675819949E-2</v>
      </c>
    </row>
    <row r="5" spans="1:30" x14ac:dyDescent="0.35">
      <c r="A5" t="s">
        <v>500</v>
      </c>
      <c r="C5" s="2"/>
      <c r="D5" s="2"/>
      <c r="E5" s="2"/>
      <c r="F5" s="2">
        <v>0.35</v>
      </c>
      <c r="G5" s="2">
        <v>0.23</v>
      </c>
      <c r="H5" s="2">
        <v>0.23</v>
      </c>
      <c r="I5" s="2">
        <v>0.23</v>
      </c>
      <c r="J5" s="2">
        <v>0.23</v>
      </c>
      <c r="K5" s="2">
        <v>0.23</v>
      </c>
      <c r="L5" s="2">
        <v>0.23</v>
      </c>
      <c r="M5" s="2">
        <v>0.23</v>
      </c>
      <c r="N5" s="2">
        <v>0.23</v>
      </c>
      <c r="O5" s="95">
        <v>0.23</v>
      </c>
      <c r="P5" s="95">
        <v>0.23</v>
      </c>
      <c r="Q5" s="95">
        <v>0.23</v>
      </c>
      <c r="R5" s="95">
        <v>0.23</v>
      </c>
      <c r="S5" s="95">
        <v>0.23</v>
      </c>
      <c r="U5" s="3"/>
    </row>
    <row r="6" spans="1:30" x14ac:dyDescent="0.35">
      <c r="A6" t="s">
        <v>499</v>
      </c>
      <c r="C6" s="5">
        <f t="shared" ref="C6:S6" si="0">C4*(1-C5)</f>
        <v>0</v>
      </c>
      <c r="D6" s="5">
        <f t="shared" si="0"/>
        <v>0</v>
      </c>
      <c r="E6" s="5">
        <f t="shared" si="0"/>
        <v>0</v>
      </c>
      <c r="F6" s="5">
        <f t="shared" si="0"/>
        <v>20.838349999999998</v>
      </c>
      <c r="G6" s="5">
        <f t="shared" si="0"/>
        <v>16.743650000000002</v>
      </c>
      <c r="H6" s="5">
        <f t="shared" si="0"/>
        <v>28.474599999999999</v>
      </c>
      <c r="I6" s="5">
        <f t="shared" si="0"/>
        <v>75.935090000000002</v>
      </c>
      <c r="J6" s="5">
        <f t="shared" si="0"/>
        <v>78.133439999999993</v>
      </c>
      <c r="K6" s="5">
        <f t="shared" si="0"/>
        <v>95.660179999999997</v>
      </c>
      <c r="L6" s="5">
        <f t="shared" si="0"/>
        <v>124.14324999999999</v>
      </c>
      <c r="M6" s="5">
        <f t="shared" si="0"/>
        <v>149.05351999999999</v>
      </c>
      <c r="N6" s="5">
        <f t="shared" si="0"/>
        <v>145.24817999999999</v>
      </c>
      <c r="O6" s="94">
        <f t="shared" si="0"/>
        <v>177.81099008750002</v>
      </c>
      <c r="P6" s="94">
        <f t="shared" si="0"/>
        <v>204.48263860062499</v>
      </c>
      <c r="Q6" s="94">
        <f t="shared" si="0"/>
        <v>229.02055523269991</v>
      </c>
      <c r="R6" s="94">
        <f t="shared" si="0"/>
        <v>251.92261075596997</v>
      </c>
      <c r="S6" s="94">
        <f t="shared" si="0"/>
        <v>277.11487183156697</v>
      </c>
    </row>
    <row r="7" spans="1:30" x14ac:dyDescent="0.35">
      <c r="A7" s="4" t="s">
        <v>498</v>
      </c>
      <c r="C7" s="5"/>
      <c r="D7" s="5"/>
      <c r="E7" s="5"/>
      <c r="F7" s="5">
        <f>'ALGN(CF)'!C8</f>
        <v>13.385</v>
      </c>
      <c r="G7" s="5">
        <f>'ALGN(CF)'!D8</f>
        <v>12.791</v>
      </c>
      <c r="H7" s="5">
        <f>'ALGN(CF)'!E8</f>
        <v>13.004</v>
      </c>
      <c r="I7" s="5">
        <f>'ALGN(CF)'!F8</f>
        <v>14.186</v>
      </c>
      <c r="J7" s="5">
        <f>'ALGN(CF)'!G8</f>
        <v>17.477</v>
      </c>
      <c r="K7" s="5">
        <f>'ALGN(CF)'!H8</f>
        <v>17.811</v>
      </c>
      <c r="L7" s="5">
        <f>'ALGN(CF)'!I8</f>
        <v>16.824999999999999</v>
      </c>
      <c r="M7" s="5">
        <f>'ALGN(CF)'!J8</f>
        <v>17.856000000000002</v>
      </c>
      <c r="N7" s="5">
        <f>'ALGN(CF)'!K8</f>
        <v>18.004000000000001</v>
      </c>
      <c r="O7" s="94">
        <f>'ALGN(CF)'!L8</f>
        <v>19.446178</v>
      </c>
      <c r="P7" s="94">
        <f>'ALGN(CF)'!M8</f>
        <v>22.363104699999994</v>
      </c>
      <c r="Q7" s="94">
        <f>'ALGN(CF)'!N8</f>
        <v>25.046677263999996</v>
      </c>
      <c r="R7" s="94">
        <f>'ALGN(CF)'!O8</f>
        <v>27.551344990399997</v>
      </c>
      <c r="S7" s="94">
        <f>'ALGN(CF)'!P8</f>
        <v>30.306479489439997</v>
      </c>
    </row>
    <row r="8" spans="1:30" x14ac:dyDescent="0.35">
      <c r="A8" s="4" t="s">
        <v>497</v>
      </c>
      <c r="C8" s="5"/>
      <c r="D8" s="5"/>
      <c r="E8" s="5"/>
      <c r="F8" s="5">
        <v>0</v>
      </c>
      <c r="G8" s="5">
        <v>0</v>
      </c>
      <c r="H8" s="5">
        <f>'ALGN(CF)'!E29*-1</f>
        <v>7.1920000000000002</v>
      </c>
      <c r="I8" s="5">
        <f>'ALGN(CF)'!F29*-1</f>
        <v>18.030999999999999</v>
      </c>
      <c r="J8" s="5">
        <f>'ALGN(CF)'!G29*-1</f>
        <v>30.404</v>
      </c>
      <c r="K8" s="5">
        <f>'ALGN(CF)'!H29*-1</f>
        <v>38.332999999999998</v>
      </c>
      <c r="L8" s="5">
        <f>'ALGN(CF)'!I29*-1</f>
        <v>19.411999999999999</v>
      </c>
      <c r="M8" s="5">
        <f>'ALGN(CF)'!J29*-1</f>
        <v>24.091999999999999</v>
      </c>
      <c r="N8" s="5">
        <f>'ALGN(CF)'!K29*-1</f>
        <v>53.451000000000001</v>
      </c>
      <c r="O8" s="94">
        <f>'ALGN(CF)'!L29*-1</f>
        <v>48.615444999999994</v>
      </c>
      <c r="P8" s="94">
        <f>'ALGN(CF)'!M29*-1</f>
        <v>55.907761749999992</v>
      </c>
      <c r="Q8" s="94">
        <f>'ALGN(CF)'!N29*-1</f>
        <v>62.61669315999999</v>
      </c>
      <c r="R8" s="94">
        <f>'ALGN(CF)'!O29*-1</f>
        <v>68.878362475999992</v>
      </c>
      <c r="S8" s="94">
        <f>'ALGN(CF)'!P29*-1</f>
        <v>75.766198723599999</v>
      </c>
    </row>
    <row r="9" spans="1:30" x14ac:dyDescent="0.35">
      <c r="A9" s="4" t="s">
        <v>496</v>
      </c>
      <c r="C9" s="5"/>
      <c r="D9" s="5"/>
      <c r="E9" s="5"/>
      <c r="F9" s="5">
        <f>'ALGN(CF)'!C14</f>
        <v>-9.5540000000000003</v>
      </c>
      <c r="G9" s="5">
        <f>'ALGN(CF)'!D14</f>
        <v>-8.3109999999999999</v>
      </c>
      <c r="H9" s="5">
        <f>'ALGN(CF)'!E14</f>
        <v>15.884</v>
      </c>
      <c r="I9" s="5">
        <f>'ALGN(CF)'!F14</f>
        <v>10.593</v>
      </c>
      <c r="J9" s="5">
        <f>'ALGN(CF)'!G14</f>
        <v>32.542000000000002</v>
      </c>
      <c r="K9" s="5">
        <f>'ALGN(CF)'!H14</f>
        <v>-3.383</v>
      </c>
      <c r="L9" s="5">
        <f>'ALGN(CF)'!I14</f>
        <v>13.162000000000001</v>
      </c>
      <c r="M9" s="5">
        <f>'ALGN(CF)'!J14</f>
        <v>9.1940000000000008</v>
      </c>
      <c r="N9" s="5">
        <f>'ALGN(CF)'!K14</f>
        <v>31.050999999999998</v>
      </c>
      <c r="O9" s="94">
        <f>'ALGN(CF)'!L14</f>
        <v>19.446178</v>
      </c>
      <c r="P9" s="94">
        <f>'ALGN(CF)'!M14</f>
        <v>22.363104699999994</v>
      </c>
      <c r="Q9" s="94">
        <f>'ALGN(CF)'!N14</f>
        <v>25.046677263999996</v>
      </c>
      <c r="R9" s="94">
        <f>'ALGN(CF)'!O14</f>
        <v>27.551344990399997</v>
      </c>
      <c r="S9" s="94">
        <f>'ALGN(CF)'!P14</f>
        <v>30.306479489439997</v>
      </c>
      <c r="T9" s="5"/>
      <c r="U9" s="6" t="s">
        <v>495</v>
      </c>
      <c r="V9" s="6" t="s">
        <v>494</v>
      </c>
    </row>
    <row r="10" spans="1:30" s="10" customFormat="1" ht="15.5" x14ac:dyDescent="0.35">
      <c r="A10" s="7" t="s">
        <v>493</v>
      </c>
      <c r="B10" s="8"/>
      <c r="C10" s="8">
        <f t="shared" ref="C10:S10" si="1">C6+C7-C8-C9</f>
        <v>0</v>
      </c>
      <c r="D10" s="8">
        <f t="shared" si="1"/>
        <v>0</v>
      </c>
      <c r="E10" s="8">
        <f t="shared" si="1"/>
        <v>0</v>
      </c>
      <c r="F10" s="8">
        <f t="shared" si="1"/>
        <v>43.777349999999998</v>
      </c>
      <c r="G10" s="8">
        <f>G6+G7-G8-G9</f>
        <v>37.845650000000006</v>
      </c>
      <c r="H10" s="8">
        <f t="shared" si="1"/>
        <v>18.4026</v>
      </c>
      <c r="I10" s="8">
        <f t="shared" si="1"/>
        <v>61.49709</v>
      </c>
      <c r="J10" s="8">
        <f t="shared" si="1"/>
        <v>32.664439999999999</v>
      </c>
      <c r="K10" s="8">
        <f t="shared" si="1"/>
        <v>78.521180000000001</v>
      </c>
      <c r="L10" s="8">
        <f t="shared" si="1"/>
        <v>108.39424999999997</v>
      </c>
      <c r="M10" s="8">
        <f t="shared" si="1"/>
        <v>133.62352000000001</v>
      </c>
      <c r="N10" s="8">
        <f t="shared" si="1"/>
        <v>78.750179999999986</v>
      </c>
      <c r="O10" s="8">
        <f t="shared" si="1"/>
        <v>129.19554508750002</v>
      </c>
      <c r="P10" s="8">
        <f t="shared" si="1"/>
        <v>148.574876850625</v>
      </c>
      <c r="Q10" s="8">
        <f t="shared" si="1"/>
        <v>166.40386207269989</v>
      </c>
      <c r="R10" s="8">
        <f t="shared" si="1"/>
        <v>183.04424827996993</v>
      </c>
      <c r="S10" s="8">
        <f t="shared" si="1"/>
        <v>201.34867310796699</v>
      </c>
      <c r="T10" s="9"/>
      <c r="U10" s="111">
        <f>AVERAGE(O11:S11)</f>
        <v>0.22211492008653191</v>
      </c>
      <c r="V10" s="111">
        <f>(S10/O10)^(1/COUNT(O10:S10))-1</f>
        <v>9.2798893675819949E-2</v>
      </c>
    </row>
    <row r="11" spans="1:30" x14ac:dyDescent="0.35">
      <c r="A11" t="s">
        <v>492</v>
      </c>
      <c r="C11" s="15"/>
      <c r="D11" s="15" t="e">
        <f t="shared" ref="D11:S11" si="2">(D10-C10)/C10</f>
        <v>#DIV/0!</v>
      </c>
      <c r="E11" s="15" t="e">
        <f t="shared" si="2"/>
        <v>#DIV/0!</v>
      </c>
      <c r="F11" s="15" t="e">
        <f t="shared" si="2"/>
        <v>#DIV/0!</v>
      </c>
      <c r="G11" s="15">
        <f t="shared" si="2"/>
        <v>-0.13549700929818714</v>
      </c>
      <c r="H11" s="15">
        <f t="shared" si="2"/>
        <v>-0.51374596552047602</v>
      </c>
      <c r="I11" s="15">
        <f t="shared" si="2"/>
        <v>2.3417609468227316</v>
      </c>
      <c r="J11" s="15">
        <f t="shared" si="2"/>
        <v>-0.46884576164498193</v>
      </c>
      <c r="K11" s="15">
        <f t="shared" si="2"/>
        <v>1.4038734477003127</v>
      </c>
      <c r="L11" s="15">
        <f t="shared" si="2"/>
        <v>0.38044601469310535</v>
      </c>
      <c r="M11" s="15">
        <f t="shared" si="2"/>
        <v>0.23275468947845526</v>
      </c>
      <c r="N11" s="15">
        <f t="shared" si="2"/>
        <v>-0.41065629763382988</v>
      </c>
      <c r="O11" s="15">
        <f t="shared" si="2"/>
        <v>0.6405746004326599</v>
      </c>
      <c r="P11" s="15">
        <f t="shared" si="2"/>
        <v>0.14999999999999983</v>
      </c>
      <c r="Q11" s="15">
        <f t="shared" si="2"/>
        <v>0.11999999999999926</v>
      </c>
      <c r="R11" s="15">
        <f t="shared" si="2"/>
        <v>0.10000000000000031</v>
      </c>
      <c r="S11" s="15">
        <f t="shared" si="2"/>
        <v>0.10000000000000032</v>
      </c>
    </row>
    <row r="12" spans="1:30" x14ac:dyDescent="0.35">
      <c r="A12" t="s">
        <v>491</v>
      </c>
      <c r="C12" s="15"/>
      <c r="D12" s="15"/>
      <c r="E12" s="15"/>
      <c r="F12" s="15" t="e">
        <f t="shared" ref="F12:S12" si="3">AVERAGE(D11:F11)</f>
        <v>#DIV/0!</v>
      </c>
      <c r="G12" s="15" t="e">
        <f t="shared" si="3"/>
        <v>#DIV/0!</v>
      </c>
      <c r="H12" s="15" t="e">
        <f t="shared" si="3"/>
        <v>#DIV/0!</v>
      </c>
      <c r="I12" s="15">
        <f t="shared" si="3"/>
        <v>0.56417265733468946</v>
      </c>
      <c r="J12" s="15">
        <f t="shared" si="3"/>
        <v>0.45305640655242452</v>
      </c>
      <c r="K12" s="15">
        <f t="shared" si="3"/>
        <v>1.0922628776260208</v>
      </c>
      <c r="L12" s="15">
        <f t="shared" si="3"/>
        <v>0.438491233582812</v>
      </c>
      <c r="M12" s="15">
        <f t="shared" si="3"/>
        <v>0.67235805062395781</v>
      </c>
      <c r="N12" s="15">
        <f t="shared" si="3"/>
        <v>6.7514802179243563E-2</v>
      </c>
      <c r="O12" s="15">
        <f t="shared" si="3"/>
        <v>0.15422433075909511</v>
      </c>
      <c r="P12" s="15">
        <f t="shared" si="3"/>
        <v>0.12663943426627663</v>
      </c>
      <c r="Q12" s="15">
        <f t="shared" si="3"/>
        <v>0.30352486681088631</v>
      </c>
      <c r="R12" s="15">
        <f t="shared" si="3"/>
        <v>0.12333333333333313</v>
      </c>
      <c r="S12" s="15">
        <f t="shared" si="3"/>
        <v>0.10666666666666663</v>
      </c>
    </row>
    <row r="13" spans="1:30" ht="15" thickBot="1" x14ac:dyDescent="0.4">
      <c r="A13" t="s">
        <v>490</v>
      </c>
      <c r="C13" s="15"/>
      <c r="D13" s="15"/>
      <c r="E13" s="15"/>
      <c r="F13" s="15"/>
      <c r="G13" s="15"/>
      <c r="H13" s="15" t="e">
        <f t="shared" ref="H13:S13" si="4">AVERAGE(D11:H11)</f>
        <v>#DIV/0!</v>
      </c>
      <c r="I13" s="15" t="e">
        <f t="shared" si="4"/>
        <v>#DIV/0!</v>
      </c>
      <c r="J13" s="15" t="e">
        <f t="shared" si="4"/>
        <v>#DIV/0!</v>
      </c>
      <c r="K13" s="15">
        <f t="shared" si="4"/>
        <v>0.52550913161187984</v>
      </c>
      <c r="L13" s="15">
        <f t="shared" si="4"/>
        <v>0.62869773641013837</v>
      </c>
      <c r="M13" s="15">
        <f t="shared" si="4"/>
        <v>0.7779978674099246</v>
      </c>
      <c r="N13" s="15">
        <f t="shared" si="4"/>
        <v>0.22751441851861229</v>
      </c>
      <c r="O13" s="15">
        <f t="shared" si="4"/>
        <v>0.44939849093414069</v>
      </c>
      <c r="P13" s="15">
        <f t="shared" si="4"/>
        <v>0.19862380139407809</v>
      </c>
      <c r="Q13" s="15">
        <f t="shared" si="4"/>
        <v>0.14653459845545685</v>
      </c>
      <c r="R13" s="15">
        <f t="shared" si="4"/>
        <v>0.11998366055976591</v>
      </c>
      <c r="S13" s="15">
        <f t="shared" si="4"/>
        <v>0.22211492008653191</v>
      </c>
    </row>
    <row r="14" spans="1:30" ht="26.5" thickBot="1" x14ac:dyDescent="0.65">
      <c r="AC14" s="287" t="s">
        <v>679</v>
      </c>
      <c r="AD14" s="288">
        <f>MAX(Y24:AC38)</f>
        <v>113.40162244209191</v>
      </c>
    </row>
    <row r="15" spans="1:30" x14ac:dyDescent="0.35">
      <c r="AC15" s="249" t="s">
        <v>680</v>
      </c>
      <c r="AD15" s="250">
        <f>MIN(Y24:AC38)</f>
        <v>70.785562757800463</v>
      </c>
    </row>
    <row r="16" spans="1:30" ht="19" thickBot="1" x14ac:dyDescent="0.5">
      <c r="A16" s="11" t="s">
        <v>489</v>
      </c>
      <c r="Z16" s="291" t="s">
        <v>682</v>
      </c>
      <c r="AA16" s="291"/>
      <c r="AB16" s="291"/>
      <c r="AC16" s="251" t="s">
        <v>681</v>
      </c>
      <c r="AD16" s="252">
        <f>AVERAGE(Y24:AC38)</f>
        <v>90.284223366368295</v>
      </c>
    </row>
    <row r="17" spans="1:33" ht="15" thickBot="1" x14ac:dyDescent="0.4">
      <c r="Y17" s="237">
        <f t="shared" ref="Y17:AA17" si="5">(Y18-$AA18)/$AA18</f>
        <v>-0.18999999999999992</v>
      </c>
      <c r="Z17" s="237">
        <f t="shared" si="5"/>
        <v>-9.9999999999999978E-2</v>
      </c>
      <c r="AA17" s="237">
        <f t="shared" si="5"/>
        <v>0</v>
      </c>
      <c r="AB17" s="237">
        <f>(AB18-$AA18)/$AA18</f>
        <v>0.10000000000000014</v>
      </c>
      <c r="AC17" s="237">
        <f>(AC18-$AA18)/$AA18</f>
        <v>0.21000000000000033</v>
      </c>
    </row>
    <row r="18" spans="1:33" ht="15" thickBot="1" x14ac:dyDescent="0.4">
      <c r="A18" t="s">
        <v>488</v>
      </c>
      <c r="B18" s="80">
        <v>1.6E-2</v>
      </c>
      <c r="S18" s="235">
        <f>B68</f>
        <v>92.452066194119666</v>
      </c>
      <c r="T18" s="236">
        <f t="shared" ref="T18:Y18" si="6">U18*(1-10%)</f>
        <v>186629500.56920645</v>
      </c>
      <c r="U18" s="236">
        <f t="shared" si="6"/>
        <v>207366111.7435627</v>
      </c>
      <c r="V18" s="236">
        <f t="shared" si="6"/>
        <v>230406790.82618076</v>
      </c>
      <c r="W18" s="236">
        <f t="shared" si="6"/>
        <v>256007545.36242306</v>
      </c>
      <c r="X18" s="236">
        <f t="shared" si="6"/>
        <v>284452828.18047005</v>
      </c>
      <c r="Y18" s="241">
        <f t="shared" si="6"/>
        <v>316058697.97830003</v>
      </c>
      <c r="Z18" s="241">
        <f>AA18*(1-10%)</f>
        <v>351176331.08700001</v>
      </c>
      <c r="AA18" s="242">
        <v>390195923.43000001</v>
      </c>
      <c r="AB18" s="241">
        <f>AA18*(1+10%)</f>
        <v>429215515.77300006</v>
      </c>
      <c r="AC18" s="241">
        <f t="shared" ref="AC18:AF18" si="7">AB18*(1+10%)</f>
        <v>472137067.35030013</v>
      </c>
      <c r="AD18" s="236">
        <f t="shared" si="7"/>
        <v>519350774.08533019</v>
      </c>
      <c r="AE18" s="236">
        <f t="shared" si="7"/>
        <v>571285851.49386322</v>
      </c>
      <c r="AF18" s="239">
        <f t="shared" si="7"/>
        <v>628414436.64324963</v>
      </c>
    </row>
    <row r="19" spans="1:33" x14ac:dyDescent="0.35">
      <c r="A19" t="s">
        <v>487</v>
      </c>
      <c r="B19" s="80">
        <v>0.09</v>
      </c>
      <c r="R19" s="237">
        <f t="shared" ref="R19:R45" si="8">(S19-S$30)/S$30</f>
        <v>-0.25137111517367483</v>
      </c>
      <c r="S19" s="238">
        <f t="shared" ref="S19:S28" si="9">S20-0.25%</f>
        <v>8.1899999999999973E-2</v>
      </c>
      <c r="T19">
        <f t="dataTable" ref="T19:AF45" dt2D="1" dtr="1" r1="K60" r2="B33"/>
        <v>56.765549845319107</v>
      </c>
      <c r="U19">
        <v>61.31970850690761</v>
      </c>
      <c r="V19">
        <v>66.379884797561516</v>
      </c>
      <c r="W19">
        <v>72.002302898288079</v>
      </c>
      <c r="X19">
        <v>78.249434121317591</v>
      </c>
      <c r="Y19" s="157">
        <v>85.190691035794814</v>
      </c>
      <c r="Z19" s="157">
        <v>92.903198718547301</v>
      </c>
      <c r="AA19" s="157">
        <v>101.47265169938338</v>
      </c>
      <c r="AB19" s="157">
        <v>110.0421046802195</v>
      </c>
      <c r="AC19" s="157">
        <v>119.4685029591392</v>
      </c>
      <c r="AD19">
        <v>129.83754106595089</v>
      </c>
      <c r="AE19">
        <v>141.24348298344373</v>
      </c>
      <c r="AF19" s="40">
        <v>153.79001909268587</v>
      </c>
    </row>
    <row r="20" spans="1:33" x14ac:dyDescent="0.35">
      <c r="A20" t="s">
        <v>486</v>
      </c>
      <c r="B20" s="150">
        <v>1.1000000000000001</v>
      </c>
      <c r="R20" s="237">
        <f t="shared" si="8"/>
        <v>-0.22851919561243164</v>
      </c>
      <c r="S20" s="238">
        <f t="shared" si="9"/>
        <v>8.4399999999999975E-2</v>
      </c>
      <c r="T20">
        <v>56.238249805340402</v>
      </c>
      <c r="U20">
        <v>60.740153665911002</v>
      </c>
      <c r="V20">
        <v>65.742269066544992</v>
      </c>
      <c r="W20">
        <v>71.300175067249427</v>
      </c>
      <c r="X20">
        <v>77.475626179143262</v>
      </c>
      <c r="Y20" s="157">
        <v>84.337238525691944</v>
      </c>
      <c r="Z20" s="157">
        <v>91.96125224407939</v>
      </c>
      <c r="AA20" s="157">
        <v>100.43237859784321</v>
      </c>
      <c r="AB20" s="157">
        <v>108.90350495160703</v>
      </c>
      <c r="AC20" s="157">
        <v>118.22174394074727</v>
      </c>
      <c r="AD20">
        <v>128.47180682880148</v>
      </c>
      <c r="AE20">
        <v>139.74687600566116</v>
      </c>
      <c r="AF20" s="40">
        <v>152.14945210020679</v>
      </c>
    </row>
    <row r="21" spans="1:33" x14ac:dyDescent="0.35">
      <c r="A21" t="s">
        <v>485</v>
      </c>
      <c r="B21" s="150">
        <v>1.3</v>
      </c>
      <c r="R21" s="237">
        <f t="shared" si="8"/>
        <v>-0.20566727605118848</v>
      </c>
      <c r="S21" s="238">
        <f t="shared" si="9"/>
        <v>8.6899999999999977E-2</v>
      </c>
      <c r="T21">
        <v>55.718025133707251</v>
      </c>
      <c r="U21">
        <v>60.16839203588426</v>
      </c>
      <c r="V21">
        <v>65.113244149414257</v>
      </c>
      <c r="W21">
        <v>70.607524275558731</v>
      </c>
      <c r="X21">
        <v>76.712279971274782</v>
      </c>
      <c r="Y21" s="157">
        <v>83.495341855403737</v>
      </c>
      <c r="Z21" s="157">
        <v>91.032077282213706</v>
      </c>
      <c r="AA21" s="157">
        <v>99.406227756446995</v>
      </c>
      <c r="AB21" s="157">
        <v>107.78037823068028</v>
      </c>
      <c r="AC21" s="157">
        <v>116.99194375233692</v>
      </c>
      <c r="AD21">
        <v>127.1246658261592</v>
      </c>
      <c r="AE21">
        <v>138.27066010736374</v>
      </c>
      <c r="AF21" s="40">
        <v>150.53125381668869</v>
      </c>
    </row>
    <row r="22" spans="1:33" x14ac:dyDescent="0.35">
      <c r="A22" s="17" t="s">
        <v>484</v>
      </c>
      <c r="B22" s="150">
        <f>SUM(B20:B21)/2</f>
        <v>1.2000000000000002</v>
      </c>
      <c r="R22" s="237">
        <f t="shared" si="8"/>
        <v>-0.18281535648994532</v>
      </c>
      <c r="S22" s="238">
        <f t="shared" si="9"/>
        <v>8.9399999999999979E-2</v>
      </c>
      <c r="T22">
        <v>55.20476405493956</v>
      </c>
      <c r="U22">
        <v>59.60430036284793</v>
      </c>
      <c r="V22">
        <v>64.492674038301686</v>
      </c>
      <c r="W22">
        <v>69.924200344361424</v>
      </c>
      <c r="X22">
        <v>75.959229573316676</v>
      </c>
      <c r="Y22" s="157">
        <v>82.664817605489162</v>
      </c>
      <c r="Z22" s="157">
        <v>90.115470974569732</v>
      </c>
      <c r="AA22" s="157">
        <v>98.393974717992577</v>
      </c>
      <c r="AB22" s="157">
        <v>106.67247846141544</v>
      </c>
      <c r="AC22" s="157">
        <v>115.77883257918056</v>
      </c>
      <c r="AD22">
        <v>125.79582210872221</v>
      </c>
      <c r="AE22">
        <v>136.81451059121804</v>
      </c>
      <c r="AF22" s="40">
        <v>148.93506792196345</v>
      </c>
    </row>
    <row r="23" spans="1:33" ht="15" thickBot="1" x14ac:dyDescent="0.4">
      <c r="A23" s="22" t="s">
        <v>483</v>
      </c>
      <c r="B23" s="97">
        <f>B18+B22*(B19-B18)</f>
        <v>0.1048</v>
      </c>
      <c r="G23" t="s">
        <v>513</v>
      </c>
      <c r="R23" s="237">
        <f t="shared" si="8"/>
        <v>-0.15996343692870216</v>
      </c>
      <c r="S23" s="238">
        <f t="shared" si="9"/>
        <v>9.1899999999999982E-2</v>
      </c>
      <c r="T23">
        <v>54.698356816548774</v>
      </c>
      <c r="U23">
        <v>59.04775762510063</v>
      </c>
      <c r="V23">
        <v>63.880425190158221</v>
      </c>
      <c r="W23">
        <v>69.250055818000021</v>
      </c>
      <c r="X23">
        <v>75.216312071157574</v>
      </c>
      <c r="Y23" s="157">
        <v>81.845485685777064</v>
      </c>
      <c r="Z23" s="157">
        <v>89.211234146465387</v>
      </c>
      <c r="AA23" s="157">
        <v>97.39539910278576</v>
      </c>
      <c r="AB23" s="157">
        <v>105.57956405910613</v>
      </c>
      <c r="AC23" s="157">
        <v>114.58214551105853</v>
      </c>
      <c r="AD23">
        <v>124.48498510820619</v>
      </c>
      <c r="AE23">
        <v>135.37810866506859</v>
      </c>
      <c r="AF23" s="40">
        <v>147.36054457761728</v>
      </c>
    </row>
    <row r="24" spans="1:33" x14ac:dyDescent="0.35">
      <c r="A24" t="s">
        <v>482</v>
      </c>
      <c r="B24" s="3">
        <v>0</v>
      </c>
      <c r="G24" s="12" t="s">
        <v>518</v>
      </c>
      <c r="H24" s="13"/>
      <c r="R24" s="237">
        <f t="shared" si="8"/>
        <v>-0.137111517367459</v>
      </c>
      <c r="S24" s="243">
        <f t="shared" si="9"/>
        <v>9.4399999999999984E-2</v>
      </c>
      <c r="T24" s="157">
        <v>54.198695647842158</v>
      </c>
      <c r="U24" s="157">
        <v>58.498644987740107</v>
      </c>
      <c r="V24" s="157">
        <v>63.276366476515598</v>
      </c>
      <c r="W24" s="157">
        <v>68.584945908488393</v>
      </c>
      <c r="X24" s="157">
        <v>74.483367499569269</v>
      </c>
      <c r="Y24" s="256">
        <v>81.03716926743688</v>
      </c>
      <c r="Z24" s="257">
        <v>88.319171231734259</v>
      </c>
      <c r="AA24" s="257">
        <v>96.410284525397998</v>
      </c>
      <c r="AB24" s="257">
        <v>104.50139781906176</v>
      </c>
      <c r="AC24" s="253">
        <v>113.40162244209191</v>
      </c>
      <c r="AD24">
        <v>123.19186952742501</v>
      </c>
      <c r="AE24">
        <v>133.96114132129148</v>
      </c>
      <c r="AF24" s="40">
        <v>145.80734029454462</v>
      </c>
      <c r="AG24">
        <f>AVERAGE(Y24:AC24)</f>
        <v>96.733929057144564</v>
      </c>
    </row>
    <row r="25" spans="1:33" x14ac:dyDescent="0.35">
      <c r="A25" s="22" t="s">
        <v>481</v>
      </c>
      <c r="B25" s="97">
        <f>B24*(1-N5)</f>
        <v>0</v>
      </c>
      <c r="G25" s="29" t="s">
        <v>519</v>
      </c>
      <c r="H25" s="40"/>
      <c r="R25" s="237">
        <f t="shared" si="8"/>
        <v>-0.11425959780621582</v>
      </c>
      <c r="S25" s="243">
        <f t="shared" si="9"/>
        <v>9.6899999999999986E-2</v>
      </c>
      <c r="T25" s="157">
        <v>53.705674719658745</v>
      </c>
      <c r="U25" s="157">
        <v>57.956845758213419</v>
      </c>
      <c r="V25" s="157">
        <v>62.680369134385288</v>
      </c>
      <c r="W25" s="157">
        <v>67.92872844124291</v>
      </c>
      <c r="X25" s="157">
        <v>73.760238782195827</v>
      </c>
      <c r="Y25" s="245">
        <v>80.239694716587962</v>
      </c>
      <c r="Z25" s="157">
        <v>87.439090199245896</v>
      </c>
      <c r="AA25" s="157">
        <v>95.438418513310239</v>
      </c>
      <c r="AB25" s="157">
        <v>103.43774682737461</v>
      </c>
      <c r="AC25" s="254">
        <v>112.23700797284543</v>
      </c>
      <c r="AD25">
        <v>121.9161952328633</v>
      </c>
      <c r="AE25">
        <v>132.56330121888297</v>
      </c>
      <c r="AF25" s="40">
        <v>144.27511780350463</v>
      </c>
    </row>
    <row r="26" spans="1:33" x14ac:dyDescent="0.35">
      <c r="A26" t="s">
        <v>480</v>
      </c>
      <c r="B26" s="18">
        <f>'ALGN(BS)'!N80*1000000</f>
        <v>79867000</v>
      </c>
      <c r="G26" s="29"/>
      <c r="H26" s="40"/>
      <c r="R26" s="237">
        <f t="shared" si="8"/>
        <v>-9.1407678244972659E-2</v>
      </c>
      <c r="S26" s="243">
        <f t="shared" si="9"/>
        <v>9.9399999999999988E-2</v>
      </c>
      <c r="T26" s="157">
        <v>53.219190105012942</v>
      </c>
      <c r="U26" s="157">
        <v>57.422245342869182</v>
      </c>
      <c r="V26" s="157">
        <v>62.092306718265014</v>
      </c>
      <c r="W26" s="157">
        <v>67.281263802038154</v>
      </c>
      <c r="X26" s="157">
        <v>73.046771672897208</v>
      </c>
      <c r="Y26" s="245">
        <v>79.452891529407253</v>
      </c>
      <c r="Z26" s="157">
        <v>86.570802481085096</v>
      </c>
      <c r="AA26" s="157">
        <v>94.479592427393811</v>
      </c>
      <c r="AB26" s="157">
        <v>102.38838237370253</v>
      </c>
      <c r="AC26" s="254">
        <v>111.08805131464213</v>
      </c>
      <c r="AD26">
        <v>120.65768714967568</v>
      </c>
      <c r="AE26">
        <v>131.1842865682126</v>
      </c>
      <c r="AF26" s="40">
        <v>142.76354592860321</v>
      </c>
    </row>
    <row r="27" spans="1:33" x14ac:dyDescent="0.35">
      <c r="A27" t="s">
        <v>479</v>
      </c>
      <c r="B27" s="17">
        <v>90.61</v>
      </c>
      <c r="G27" s="29" t="s">
        <v>517</v>
      </c>
      <c r="H27" s="40"/>
      <c r="R27" s="237">
        <f t="shared" si="8"/>
        <v>-6.8555758683729498E-2</v>
      </c>
      <c r="S27" s="243">
        <f t="shared" si="9"/>
        <v>0.10189999999999999</v>
      </c>
      <c r="T27" s="157">
        <v>52.739139740624076</v>
      </c>
      <c r="U27" s="157">
        <v>56.894731204488416</v>
      </c>
      <c r="V27" s="157">
        <v>61.512055053226568</v>
      </c>
      <c r="W27" s="157">
        <v>66.642414885157862</v>
      </c>
      <c r="X27" s="157">
        <v>72.342814698414855</v>
      </c>
      <c r="Y27" s="245">
        <v>78.676592268700389</v>
      </c>
      <c r="Z27" s="157">
        <v>85.714122902350994</v>
      </c>
      <c r="AA27" s="157">
        <v>93.53360138418499</v>
      </c>
      <c r="AB27" s="157">
        <v>101.353079866019</v>
      </c>
      <c r="AC27" s="254">
        <v>109.95450619603642</v>
      </c>
      <c r="AD27">
        <v>119.41607515905557</v>
      </c>
      <c r="AE27">
        <v>129.82380101837666</v>
      </c>
      <c r="AF27" s="40">
        <v>141.27229946362985</v>
      </c>
    </row>
    <row r="28" spans="1:33" x14ac:dyDescent="0.35">
      <c r="A28" t="s">
        <v>478</v>
      </c>
      <c r="B28" s="18">
        <f>'ALGN(BS)'!N45</f>
        <v>0</v>
      </c>
      <c r="G28" s="29" t="s">
        <v>520</v>
      </c>
      <c r="H28" s="40"/>
      <c r="R28" s="237">
        <f t="shared" si="8"/>
        <v>-4.570383912248633E-2</v>
      </c>
      <c r="S28" s="243">
        <f t="shared" si="9"/>
        <v>0.10439999999999999</v>
      </c>
      <c r="T28" s="157">
        <v>52.265423389309937</v>
      </c>
      <c r="U28" s="157">
        <v>56.374192820769366</v>
      </c>
      <c r="V28" s="157">
        <v>60.939492189057624</v>
      </c>
      <c r="W28" s="157">
        <v>66.012047042711245</v>
      </c>
      <c r="X28" s="157">
        <v>71.648219102326394</v>
      </c>
      <c r="Y28" s="245">
        <v>77.91063250189876</v>
      </c>
      <c r="Z28" s="157">
        <v>84.868869612534738</v>
      </c>
      <c r="AA28" s="157">
        <v>92.600244179908032</v>
      </c>
      <c r="AB28" s="157">
        <v>100.33161874728135</v>
      </c>
      <c r="AC28" s="254">
        <v>108.83613077139199</v>
      </c>
      <c r="AD28">
        <v>118.1910939979137</v>
      </c>
      <c r="AE28">
        <v>128.48155354708757</v>
      </c>
      <c r="AF28" s="40">
        <v>139.80105905117884</v>
      </c>
    </row>
    <row r="29" spans="1:33" ht="15" thickBot="1" x14ac:dyDescent="0.4">
      <c r="A29" t="s">
        <v>477</v>
      </c>
      <c r="B29" s="18">
        <f>'ALGN(BS)'!N53</f>
        <v>0</v>
      </c>
      <c r="G29" s="29"/>
      <c r="H29" s="40"/>
      <c r="R29" s="237">
        <f t="shared" si="8"/>
        <v>-2.2851919561243165E-2</v>
      </c>
      <c r="S29" s="243">
        <f>S30-0.25%</f>
        <v>0.1069</v>
      </c>
      <c r="T29" s="157">
        <v>51.797942603222197</v>
      </c>
      <c r="U29" s="157">
        <v>55.860521643742139</v>
      </c>
      <c r="V29" s="157">
        <v>60.374498355430951</v>
      </c>
      <c r="W29" s="157">
        <v>65.390028035085209</v>
      </c>
      <c r="X29" s="157">
        <v>70.962838790256598</v>
      </c>
      <c r="Y29" s="245">
        <v>77.154850740447017</v>
      </c>
      <c r="Z29" s="157">
        <v>84.034864018436394</v>
      </c>
      <c r="AA29" s="157">
        <v>91.679323216202349</v>
      </c>
      <c r="AB29" s="157">
        <v>99.323782413968331</v>
      </c>
      <c r="AC29" s="254">
        <v>107.7326875315109</v>
      </c>
      <c r="AD29">
        <v>116.98248316080773</v>
      </c>
      <c r="AE29">
        <v>127.15725835303422</v>
      </c>
      <c r="AF29" s="40">
        <v>138.34951106448341</v>
      </c>
    </row>
    <row r="30" spans="1:33" ht="15" thickBot="1" x14ac:dyDescent="0.4">
      <c r="A30" s="22" t="s">
        <v>476</v>
      </c>
      <c r="B30" s="19">
        <v>0</v>
      </c>
      <c r="C30" s="96">
        <f>B30/(B30+B31)</f>
        <v>0</v>
      </c>
      <c r="G30" s="29" t="s">
        <v>521</v>
      </c>
      <c r="H30" s="40"/>
      <c r="R30" s="237">
        <f t="shared" si="8"/>
        <v>0</v>
      </c>
      <c r="S30" s="243">
        <v>0.1094</v>
      </c>
      <c r="T30" s="157">
        <v>51.336600687904046</v>
      </c>
      <c r="U30" s="157">
        <v>55.353611060091211</v>
      </c>
      <c r="V30" s="157">
        <v>59.81695591807695</v>
      </c>
      <c r="W30" s="157">
        <v>64.776227982505574</v>
      </c>
      <c r="X30" s="157">
        <v>70.286530276315133</v>
      </c>
      <c r="Y30" s="245">
        <v>76.409088380547971</v>
      </c>
      <c r="Z30" s="157">
        <v>83.211930718584469</v>
      </c>
      <c r="AA30" s="16">
        <v>90.770644427513915</v>
      </c>
      <c r="AB30" s="157">
        <v>98.329358136443361</v>
      </c>
      <c r="AC30" s="254">
        <v>106.64394321626575</v>
      </c>
      <c r="AD30">
        <v>115.7899868040704</v>
      </c>
      <c r="AE30">
        <v>125.85063475065549</v>
      </c>
      <c r="AF30" s="40">
        <v>136.91734749189911</v>
      </c>
    </row>
    <row r="31" spans="1:33" x14ac:dyDescent="0.35">
      <c r="A31" s="22" t="s">
        <v>475</v>
      </c>
      <c r="B31" s="19">
        <f>B26*B27</f>
        <v>7236748870</v>
      </c>
      <c r="C31" s="20">
        <f>1-C30</f>
        <v>1</v>
      </c>
      <c r="G31" s="29" t="s">
        <v>522</v>
      </c>
      <c r="H31" s="40"/>
      <c r="R31" s="237">
        <f>(S31-S$30)/S$30</f>
        <v>2.2851919561243165E-2</v>
      </c>
      <c r="S31" s="244">
        <f>S30+0.25%</f>
        <v>0.1119</v>
      </c>
      <c r="T31" s="157">
        <v>50.881302667149235</v>
      </c>
      <c r="U31" s="157">
        <v>54.853356352363051</v>
      </c>
      <c r="V31" s="157">
        <v>59.26674933593398</v>
      </c>
      <c r="W31" s="157">
        <v>64.17051931767945</v>
      </c>
      <c r="X31" s="157">
        <v>69.619152630729971</v>
      </c>
      <c r="Y31" s="245">
        <v>75.673189645230522</v>
      </c>
      <c r="Z31" s="157">
        <v>82.399897439120039</v>
      </c>
      <c r="AA31" s="157">
        <v>89.874017210108406</v>
      </c>
      <c r="AB31" s="157">
        <v>97.348136981096786</v>
      </c>
      <c r="AC31" s="254">
        <v>105.56966872918399</v>
      </c>
      <c r="AD31">
        <v>114.61335365207992</v>
      </c>
      <c r="AE31">
        <v>124.56140706726545</v>
      </c>
      <c r="AF31" s="40">
        <v>135.50426582396955</v>
      </c>
    </row>
    <row r="32" spans="1:33" x14ac:dyDescent="0.35">
      <c r="G32" s="29"/>
      <c r="H32" s="40"/>
      <c r="R32" s="237">
        <f t="shared" si="8"/>
        <v>4.570383912248633E-2</v>
      </c>
      <c r="S32" s="244">
        <f t="shared" ref="S32:S45" si="10">S31+0.25%</f>
        <v>0.1144</v>
      </c>
      <c r="T32" s="157">
        <v>50.431955248642957</v>
      </c>
      <c r="U32" s="157">
        <v>54.35965466103702</v>
      </c>
      <c r="V32" s="157">
        <v>58.723765119252633</v>
      </c>
      <c r="W32" s="157">
        <v>63.572776739492213</v>
      </c>
      <c r="X32" s="157">
        <v>68.960567428647309</v>
      </c>
      <c r="Y32" s="245">
        <v>74.947001527708508</v>
      </c>
      <c r="Z32" s="157">
        <v>81.598594971109847</v>
      </c>
      <c r="AA32" s="157">
        <v>88.989254352666904</v>
      </c>
      <c r="AB32" s="157">
        <v>96.379913734223962</v>
      </c>
      <c r="AC32" s="254">
        <v>104.50963905393671</v>
      </c>
      <c r="AD32">
        <v>113.45233690562075</v>
      </c>
      <c r="AE32">
        <v>123.2893045424732</v>
      </c>
      <c r="AF32" s="40">
        <v>134.1099689430109</v>
      </c>
    </row>
    <row r="33" spans="1:32" ht="18.5" x14ac:dyDescent="0.45">
      <c r="A33" s="21" t="s">
        <v>474</v>
      </c>
      <c r="B33" s="100">
        <f>(B23*C31)+(B25*C30)</f>
        <v>0.1048</v>
      </c>
      <c r="G33" s="29" t="s">
        <v>523</v>
      </c>
      <c r="H33" s="40"/>
      <c r="R33" s="237">
        <f t="shared" si="8"/>
        <v>6.8555758683729498E-2</v>
      </c>
      <c r="S33" s="244">
        <f t="shared" si="10"/>
        <v>0.1169</v>
      </c>
      <c r="T33" s="157">
        <v>49.988466790365756</v>
      </c>
      <c r="U33" s="157">
        <v>53.872404947438845</v>
      </c>
      <c r="V33" s="157">
        <v>58.187891788631184</v>
      </c>
      <c r="W33" s="157">
        <v>62.982877167733768</v>
      </c>
      <c r="X33" s="157">
        <v>68.310638700069987</v>
      </c>
      <c r="Y33" s="245">
        <v>74.230373735999109</v>
      </c>
      <c r="Z33" s="157">
        <v>80.807857109253689</v>
      </c>
      <c r="AA33" s="157">
        <v>88.116171968425448</v>
      </c>
      <c r="AB33" s="157">
        <v>95.424486827597207</v>
      </c>
      <c r="AC33" s="254">
        <v>103.46363317268616</v>
      </c>
      <c r="AD33">
        <v>112.306694152284</v>
      </c>
      <c r="AE33">
        <v>122.03406122984163</v>
      </c>
      <c r="AF33" s="40">
        <v>132.73416501515501</v>
      </c>
    </row>
    <row r="34" spans="1:32" x14ac:dyDescent="0.35">
      <c r="G34" s="29" t="s">
        <v>524</v>
      </c>
      <c r="H34" s="40"/>
      <c r="R34" s="237">
        <f t="shared" si="8"/>
        <v>9.1407678244972659E-2</v>
      </c>
      <c r="S34" s="244">
        <f t="shared" si="10"/>
        <v>0.11940000000000001</v>
      </c>
      <c r="T34" s="157">
        <v>49.550747267741237</v>
      </c>
      <c r="U34" s="157">
        <v>53.391507957475675</v>
      </c>
      <c r="V34" s="157">
        <v>57.659019834958393</v>
      </c>
      <c r="W34" s="157">
        <v>62.400699698828078</v>
      </c>
      <c r="X34" s="157">
        <v>67.669232880905511</v>
      </c>
      <c r="Y34" s="245">
        <v>73.523158638769303</v>
      </c>
      <c r="Z34" s="157">
        <v>80.02752059195133</v>
      </c>
      <c r="AA34" s="157">
        <v>87.254589428820196</v>
      </c>
      <c r="AB34" s="157">
        <v>94.48165826568912</v>
      </c>
      <c r="AC34" s="254">
        <v>102.43143398624491</v>
      </c>
      <c r="AD34">
        <v>111.17618727885629</v>
      </c>
      <c r="AE34">
        <v>120.7954159007288</v>
      </c>
      <c r="AF34" s="40">
        <v>131.37656738478859</v>
      </c>
    </row>
    <row r="35" spans="1:32" ht="15" thickBot="1" x14ac:dyDescent="0.4">
      <c r="G35" s="14" t="s">
        <v>525</v>
      </c>
      <c r="H35" s="42"/>
      <c r="R35" s="237">
        <f t="shared" si="8"/>
        <v>0.11425959780621582</v>
      </c>
      <c r="S35" s="244">
        <f t="shared" si="10"/>
        <v>0.12190000000000001</v>
      </c>
      <c r="T35" s="157">
        <v>49.118708241510248</v>
      </c>
      <c r="U35" s="157">
        <v>52.916866186173053</v>
      </c>
      <c r="V35" s="157">
        <v>57.137041680242824</v>
      </c>
      <c r="W35" s="157">
        <v>61.826125562542586</v>
      </c>
      <c r="X35" s="157">
        <v>67.036218765097871</v>
      </c>
      <c r="Y35" s="245">
        <v>72.825211212381504</v>
      </c>
      <c r="Z35" s="157">
        <v>79.257425042696696</v>
      </c>
      <c r="AA35" s="157">
        <v>86.40432929860242</v>
      </c>
      <c r="AB35" s="157">
        <v>93.551233554508173</v>
      </c>
      <c r="AC35" s="254">
        <v>101.4128282360045</v>
      </c>
      <c r="AD35">
        <v>110.06058238565045</v>
      </c>
      <c r="AE35">
        <v>119.57311195026104</v>
      </c>
      <c r="AF35" s="40">
        <v>130.03689447133263</v>
      </c>
    </row>
    <row r="36" spans="1:32" ht="18.5" x14ac:dyDescent="0.45">
      <c r="A36" s="11" t="s">
        <v>473</v>
      </c>
      <c r="R36" s="237">
        <f t="shared" si="8"/>
        <v>0.137111517367459</v>
      </c>
      <c r="S36" s="244">
        <f t="shared" si="10"/>
        <v>0.12440000000000001</v>
      </c>
      <c r="T36" s="157">
        <v>48.692262826313474</v>
      </c>
      <c r="U36" s="157">
        <v>52.448383842994367</v>
      </c>
      <c r="V36" s="157">
        <v>56.62185163930647</v>
      </c>
      <c r="W36" s="157">
        <v>61.259038079653259</v>
      </c>
      <c r="X36" s="157">
        <v>66.411467457816343</v>
      </c>
      <c r="Y36" s="245">
        <v>72.136388989108667</v>
      </c>
      <c r="Z36" s="157">
        <v>78.497412912766791</v>
      </c>
      <c r="AA36" s="157">
        <v>85.565217272386946</v>
      </c>
      <c r="AB36" s="157">
        <v>92.633021632007114</v>
      </c>
      <c r="AC36" s="254">
        <v>100.40760642758929</v>
      </c>
      <c r="AD36">
        <v>108.95964970272968</v>
      </c>
      <c r="AE36">
        <v>118.36689730538411</v>
      </c>
      <c r="AF36" s="40">
        <v>128.714869668304</v>
      </c>
    </row>
    <row r="37" spans="1:32" x14ac:dyDescent="0.35">
      <c r="G37" t="s">
        <v>526</v>
      </c>
      <c r="R37" s="237">
        <f t="shared" si="8"/>
        <v>0.15996343692870216</v>
      </c>
      <c r="S37" s="244">
        <f t="shared" si="10"/>
        <v>0.12690000000000001</v>
      </c>
      <c r="T37" s="157">
        <v>48.271325659965022</v>
      </c>
      <c r="U37" s="157">
        <v>51.985966817923298</v>
      </c>
      <c r="V37" s="157">
        <v>56.11334588232139</v>
      </c>
      <c r="W37" s="157">
        <v>60.699322620541487</v>
      </c>
      <c r="X37" s="157">
        <v>65.794852329674939</v>
      </c>
      <c r="Y37" s="245">
        <v>71.456552006489872</v>
      </c>
      <c r="Z37" s="157">
        <v>77.747329425173135</v>
      </c>
      <c r="AA37" s="157">
        <v>84.737082112598998</v>
      </c>
      <c r="AB37" s="157">
        <v>91.726834800024847</v>
      </c>
      <c r="AC37" s="254">
        <v>99.415562756193296</v>
      </c>
      <c r="AD37">
        <v>107.87316350797859</v>
      </c>
      <c r="AE37">
        <v>117.17652433494241</v>
      </c>
      <c r="AF37" s="40">
        <v>127.41022124460262</v>
      </c>
    </row>
    <row r="38" spans="1:32" ht="15" thickBot="1" x14ac:dyDescent="0.4">
      <c r="A38" t="s">
        <v>472</v>
      </c>
      <c r="R38" s="237">
        <f t="shared" si="8"/>
        <v>0.18281535648994532</v>
      </c>
      <c r="S38" s="244">
        <f t="shared" si="10"/>
        <v>0.12940000000000002</v>
      </c>
      <c r="T38" s="157">
        <v>47.855812873400986</v>
      </c>
      <c r="U38" s="157">
        <v>51.529522648291589</v>
      </c>
      <c r="V38" s="157">
        <v>55.611422398170035</v>
      </c>
      <c r="W38" s="157">
        <v>60.146866564701632</v>
      </c>
      <c r="X38" s="157">
        <v>65.186248971958975</v>
      </c>
      <c r="Y38" s="246">
        <v>70.785562757800463</v>
      </c>
      <c r="Z38" s="247">
        <v>77.007022519846558</v>
      </c>
      <c r="AA38" s="247">
        <v>83.919755588786686</v>
      </c>
      <c r="AB38" s="247">
        <v>90.832488657726799</v>
      </c>
      <c r="AC38" s="255">
        <v>98.436495033560931</v>
      </c>
      <c r="AD38">
        <v>106.80090204697848</v>
      </c>
      <c r="AE38">
        <v>116.00174976173777</v>
      </c>
      <c r="AF38" s="40">
        <v>126.12268224797303</v>
      </c>
    </row>
    <row r="39" spans="1:32" x14ac:dyDescent="0.35">
      <c r="A39" t="s">
        <v>471</v>
      </c>
      <c r="B39" s="3">
        <f>V10</f>
        <v>9.2798893675819949E-2</v>
      </c>
      <c r="R39" s="237">
        <f t="shared" si="8"/>
        <v>0.20566727605118848</v>
      </c>
      <c r="S39" s="240">
        <f t="shared" si="10"/>
        <v>0.13190000000000002</v>
      </c>
      <c r="T39">
        <v>47.445642061286044</v>
      </c>
      <c r="U39">
        <v>51.078960486333386</v>
      </c>
      <c r="V39">
        <v>55.115980958608219</v>
      </c>
      <c r="W39">
        <v>59.601559261135819</v>
      </c>
      <c r="X39">
        <v>64.585535152833131</v>
      </c>
      <c r="Y39">
        <v>70.123286143607928</v>
      </c>
      <c r="Z39">
        <v>76.276342800024395</v>
      </c>
      <c r="AA39">
        <v>83.113072418264878</v>
      </c>
      <c r="AB39">
        <v>89.949802036505389</v>
      </c>
      <c r="AC39">
        <v>97.470204616569944</v>
      </c>
      <c r="AD39">
        <v>105.74264745464096</v>
      </c>
      <c r="AE39">
        <v>114.84233457651906</v>
      </c>
      <c r="AF39" s="40">
        <v>124.85199041058503</v>
      </c>
    </row>
    <row r="40" spans="1:32" x14ac:dyDescent="0.35">
      <c r="A40" s="22" t="s">
        <v>470</v>
      </c>
      <c r="B40" s="96">
        <v>0.02</v>
      </c>
      <c r="R40" s="237">
        <f t="shared" si="8"/>
        <v>0.22851919561243164</v>
      </c>
      <c r="S40" s="240">
        <f t="shared" si="10"/>
        <v>0.13440000000000002</v>
      </c>
      <c r="T40">
        <v>47.040732253262654</v>
      </c>
      <c r="U40">
        <v>50.634191067449322</v>
      </c>
      <c r="V40">
        <v>54.626923083212283</v>
      </c>
      <c r="W40">
        <v>59.063291989615585</v>
      </c>
      <c r="X40">
        <v>63.992590774508145</v>
      </c>
      <c r="Y40">
        <v>69.469589424388758</v>
      </c>
      <c r="Z40">
        <v>75.555143479811662</v>
      </c>
      <c r="AA40">
        <v>82.316870208059328</v>
      </c>
      <c r="AB40">
        <v>89.078596936307022</v>
      </c>
      <c r="AC40">
        <v>96.516496337379465</v>
      </c>
      <c r="AD40">
        <v>104.69818567855917</v>
      </c>
      <c r="AE40">
        <v>113.69804395385684</v>
      </c>
      <c r="AF40" s="40">
        <v>123.59788805668427</v>
      </c>
    </row>
    <row r="41" spans="1:32" x14ac:dyDescent="0.35">
      <c r="A41" s="22" t="s">
        <v>469</v>
      </c>
      <c r="B41" s="19">
        <f>((S10*1000000)*(1+B40))/(B33-B40)</f>
        <v>2421882624.647716</v>
      </c>
      <c r="R41" s="237">
        <f t="shared" si="8"/>
        <v>0.25137111517367483</v>
      </c>
      <c r="S41" s="240">
        <f t="shared" si="10"/>
        <v>0.13690000000000002</v>
      </c>
      <c r="T41">
        <v>46.641003885827409</v>
      </c>
      <c r="U41">
        <v>50.195126679162918</v>
      </c>
      <c r="V41">
        <v>54.144152005091264</v>
      </c>
      <c r="W41">
        <v>58.531957922789438</v>
      </c>
      <c r="X41">
        <v>63.407297831342959</v>
      </c>
      <c r="Y41">
        <v>68.824342174180217</v>
      </c>
      <c r="Z41">
        <v>74.84328033288827</v>
      </c>
      <c r="AA41">
        <v>81.530989398119431</v>
      </c>
      <c r="AB41">
        <v>88.218698463350606</v>
      </c>
      <c r="AC41">
        <v>95.575178435104903</v>
      </c>
      <c r="AD41">
        <v>103.66730640403462</v>
      </c>
      <c r="AE41">
        <v>112.56864716985733</v>
      </c>
      <c r="AF41" s="40">
        <v>122.36012201226229</v>
      </c>
    </row>
    <row r="42" spans="1:32" x14ac:dyDescent="0.35">
      <c r="A42" t="s">
        <v>468</v>
      </c>
      <c r="B42" s="33">
        <f>B41/B26</f>
        <v>30.323946368934806</v>
      </c>
      <c r="R42" s="237">
        <f t="shared" si="8"/>
        <v>0.27422303473491799</v>
      </c>
      <c r="S42" s="240">
        <f t="shared" si="10"/>
        <v>0.13940000000000002</v>
      </c>
      <c r="T42">
        <v>46.246378774819021</v>
      </c>
      <c r="U42">
        <v>49.76168113075255</v>
      </c>
      <c r="V42">
        <v>53.667572637345366</v>
      </c>
      <c r="W42">
        <v>58.007452089115155</v>
      </c>
      <c r="X42">
        <v>62.829540368859369</v>
      </c>
      <c r="Y42">
        <v>68.187416235241827</v>
      </c>
      <c r="Z42">
        <v>74.140611642333454</v>
      </c>
      <c r="AA42">
        <v>80.755273205768589</v>
      </c>
      <c r="AB42">
        <v>87.369934769203738</v>
      </c>
      <c r="AC42">
        <v>94.646062488982395</v>
      </c>
      <c r="AD42">
        <v>102.64980298073893</v>
      </c>
      <c r="AE42">
        <v>111.4539175216711</v>
      </c>
      <c r="AF42" s="40">
        <v>121.13844351669653</v>
      </c>
    </row>
    <row r="43" spans="1:32" x14ac:dyDescent="0.35">
      <c r="R43" s="237">
        <f t="shared" si="8"/>
        <v>0.29707495429616115</v>
      </c>
      <c r="S43" s="240">
        <f t="shared" si="10"/>
        <v>0.14190000000000003</v>
      </c>
      <c r="T43">
        <v>45.856780088504095</v>
      </c>
      <c r="U43">
        <v>49.333769723543348</v>
      </c>
      <c r="V43">
        <v>53.197091540253631</v>
      </c>
      <c r="W43">
        <v>57.489671336598398</v>
      </c>
      <c r="X43">
        <v>62.25920444364813</v>
      </c>
      <c r="Y43">
        <v>67.55868567370338</v>
      </c>
      <c r="Z43">
        <v>73.446998151542559</v>
      </c>
      <c r="AA43">
        <v>79.989567571363864</v>
      </c>
      <c r="AB43">
        <v>86.532136991185169</v>
      </c>
      <c r="AC43">
        <v>93.728963352988629</v>
      </c>
      <c r="AD43">
        <v>101.64547235097243</v>
      </c>
      <c r="AE43">
        <v>110.35363224875459</v>
      </c>
      <c r="AF43" s="40">
        <v>119.93260813631501</v>
      </c>
    </row>
    <row r="44" spans="1:32" ht="15" thickBot="1" x14ac:dyDescent="0.4">
      <c r="R44" s="237">
        <f t="shared" si="8"/>
        <v>0.31992687385740431</v>
      </c>
      <c r="S44" s="240">
        <f t="shared" si="10"/>
        <v>0.14440000000000003</v>
      </c>
      <c r="T44">
        <v>45.472132321246001</v>
      </c>
      <c r="U44">
        <v>48.911309221843069</v>
      </c>
      <c r="V44">
        <v>52.732616889173137</v>
      </c>
      <c r="W44">
        <v>56.97851429731768</v>
      </c>
      <c r="X44">
        <v>61.696178084144925</v>
      </c>
      <c r="Y44">
        <v>66.938026736175203</v>
      </c>
      <c r="Z44">
        <v>72.762303016208847</v>
      </c>
      <c r="AA44">
        <v>79.233721105135132</v>
      </c>
      <c r="AB44">
        <v>85.705139194061402</v>
      </c>
      <c r="AC44">
        <v>92.823699091880314</v>
      </c>
      <c r="AD44">
        <v>100.65411497948112</v>
      </c>
      <c r="AE44">
        <v>109.26757245584201</v>
      </c>
      <c r="AF44" s="40">
        <v>118.742375679839</v>
      </c>
    </row>
    <row r="45" spans="1:32" ht="19" thickBot="1" x14ac:dyDescent="0.5">
      <c r="A45" s="168" t="s">
        <v>516</v>
      </c>
      <c r="B45" s="169">
        <v>2016</v>
      </c>
      <c r="C45" s="169">
        <v>2017</v>
      </c>
      <c r="D45" s="169">
        <v>2018</v>
      </c>
      <c r="E45" s="169">
        <v>2019</v>
      </c>
      <c r="F45" s="169">
        <v>2020</v>
      </c>
      <c r="G45" s="174" t="s">
        <v>467</v>
      </c>
      <c r="R45" s="237">
        <f t="shared" si="8"/>
        <v>0.34277879341864748</v>
      </c>
      <c r="S45" s="248">
        <f t="shared" si="10"/>
        <v>0.14690000000000003</v>
      </c>
      <c r="T45" s="41">
        <v>45.092361267742611</v>
      </c>
      <c r="U45" s="41">
        <v>48.494217824506038</v>
      </c>
      <c r="V45" s="41">
        <v>52.274058443132077</v>
      </c>
      <c r="W45" s="41">
        <v>56.47388135271656</v>
      </c>
      <c r="X45" s="41">
        <v>61.140351252254881</v>
      </c>
      <c r="Y45" s="41">
        <v>66.325317807297438</v>
      </c>
      <c r="Z45" s="41">
        <v>72.086391757344742</v>
      </c>
      <c r="AA45" s="41">
        <v>78.487585035175073</v>
      </c>
      <c r="AB45" s="41">
        <v>84.888778313005417</v>
      </c>
      <c r="AC45" s="41">
        <v>91.930090918618802</v>
      </c>
      <c r="AD45" s="41">
        <v>99.675534784793513</v>
      </c>
      <c r="AE45" s="41">
        <v>108.1955230375857</v>
      </c>
      <c r="AF45" s="42">
        <v>117.56751011565713</v>
      </c>
    </row>
    <row r="46" spans="1:32" ht="23.5" x14ac:dyDescent="0.55000000000000004">
      <c r="A46" s="29"/>
      <c r="G46" s="40"/>
      <c r="AC46" s="185">
        <f>AVERAGE(AC24:AC38)</f>
        <v>105.70272112267895</v>
      </c>
    </row>
    <row r="47" spans="1:32" x14ac:dyDescent="0.35">
      <c r="A47" s="29" t="s">
        <v>466</v>
      </c>
      <c r="B47">
        <f>O10*1000000</f>
        <v>129195545.08750002</v>
      </c>
      <c r="C47">
        <f t="shared" ref="C47:F47" si="11">P10*1000000</f>
        <v>148574876.85062501</v>
      </c>
      <c r="D47">
        <f t="shared" si="11"/>
        <v>166403862.0726999</v>
      </c>
      <c r="E47">
        <f t="shared" si="11"/>
        <v>183044248.27996993</v>
      </c>
      <c r="F47">
        <f t="shared" si="11"/>
        <v>201348673.10796699</v>
      </c>
      <c r="G47" s="35">
        <f>B41</f>
        <v>2421882624.647716</v>
      </c>
      <c r="Y47" s="292" t="s">
        <v>687</v>
      </c>
      <c r="Z47" s="292"/>
      <c r="AA47" s="292"/>
    </row>
    <row r="48" spans="1:32" ht="15" thickBot="1" x14ac:dyDescent="0.4">
      <c r="A48" s="29" t="s">
        <v>465</v>
      </c>
      <c r="B48" s="160">
        <f>B47/(1+$B$33)^1</f>
        <v>116940210.97709994</v>
      </c>
      <c r="C48" s="160">
        <f>C47/(1+$B$33)^2</f>
        <v>121724513.59853813</v>
      </c>
      <c r="D48" s="160">
        <f>D47/(1+$B$33)^3</f>
        <v>123399217.26137094</v>
      </c>
      <c r="E48" s="160">
        <f>E47/(1+$B$33)^4</f>
        <v>122863087.42533316</v>
      </c>
      <c r="F48" s="160">
        <f>F47/(1+$B$33)^5</f>
        <v>122329286.90067571</v>
      </c>
      <c r="G48" s="175">
        <f>G47/(1+$B$33)^5</f>
        <v>1471413592.4373729</v>
      </c>
      <c r="Y48" s="293"/>
      <c r="Z48" s="293"/>
      <c r="AA48" s="293"/>
    </row>
    <row r="49" spans="1:33" ht="15" thickBot="1" x14ac:dyDescent="0.4">
      <c r="A49" s="29"/>
      <c r="G49" s="40"/>
      <c r="S49" s="235">
        <f>B68</f>
        <v>92.452066194119666</v>
      </c>
      <c r="T49" s="280">
        <v>0</v>
      </c>
      <c r="U49" s="281">
        <f>T49+0.5%</f>
        <v>5.0000000000000001E-3</v>
      </c>
      <c r="V49" s="281">
        <f t="shared" ref="V49:AF49" si="12">U49+0.5%</f>
        <v>0.01</v>
      </c>
      <c r="W49" s="281">
        <f t="shared" si="12"/>
        <v>1.4999999999999999E-2</v>
      </c>
      <c r="X49" s="281">
        <f t="shared" si="12"/>
        <v>0.02</v>
      </c>
      <c r="Y49" s="281">
        <f t="shared" si="12"/>
        <v>2.5000000000000001E-2</v>
      </c>
      <c r="Z49" s="281">
        <f t="shared" si="12"/>
        <v>3.0000000000000002E-2</v>
      </c>
      <c r="AA49" s="281">
        <f t="shared" si="12"/>
        <v>3.5000000000000003E-2</v>
      </c>
      <c r="AB49" s="281">
        <f t="shared" si="12"/>
        <v>0.04</v>
      </c>
      <c r="AC49" s="281">
        <f t="shared" si="12"/>
        <v>4.4999999999999998E-2</v>
      </c>
      <c r="AD49" s="281">
        <f t="shared" si="12"/>
        <v>4.9999999999999996E-2</v>
      </c>
      <c r="AE49" s="281">
        <f t="shared" si="12"/>
        <v>5.4999999999999993E-2</v>
      </c>
      <c r="AF49" s="281">
        <f t="shared" si="12"/>
        <v>5.9999999999999991E-2</v>
      </c>
    </row>
    <row r="50" spans="1:33" ht="15" thickBot="1" x14ac:dyDescent="0.4">
      <c r="A50" s="29" t="s">
        <v>464</v>
      </c>
      <c r="B50" s="160">
        <f>SUM(B48:G48)</f>
        <v>2078669908.6003909</v>
      </c>
      <c r="G50" s="40"/>
      <c r="S50" s="278">
        <v>0</v>
      </c>
      <c r="T50" s="16">
        <f t="dataTable" ref="T50:AF74" dt2D="1" dtr="1" r1="B24" r2="B30" ca="1"/>
        <v>92.452066194119666</v>
      </c>
      <c r="U50" s="157">
        <v>92.452066194119666</v>
      </c>
      <c r="V50" s="157">
        <v>92.452066194119666</v>
      </c>
      <c r="W50" s="157">
        <v>92.452066194119666</v>
      </c>
      <c r="X50" s="157">
        <v>92.452066194119666</v>
      </c>
      <c r="Y50" s="157">
        <v>92.452066194119666</v>
      </c>
      <c r="Z50" s="157">
        <v>92.452066194119666</v>
      </c>
      <c r="AA50" s="157">
        <v>92.452066194119666</v>
      </c>
      <c r="AB50" s="157">
        <v>92.452066194119666</v>
      </c>
      <c r="AC50" s="157">
        <v>92.452066194119666</v>
      </c>
      <c r="AD50" s="157">
        <v>92.452066194119666</v>
      </c>
      <c r="AE50">
        <v>92.452066194119666</v>
      </c>
      <c r="AF50" s="40">
        <v>92.452066194119666</v>
      </c>
    </row>
    <row r="51" spans="1:33" x14ac:dyDescent="0.35">
      <c r="A51" s="171" t="s">
        <v>453</v>
      </c>
      <c r="B51" s="160">
        <f>B29</f>
        <v>0</v>
      </c>
      <c r="G51" s="40"/>
      <c r="S51" s="278">
        <f>S50+250000000</f>
        <v>250000000</v>
      </c>
      <c r="T51" s="183">
        <v>93.759297129161396</v>
      </c>
      <c r="U51" s="157">
        <v>93.710837529863326</v>
      </c>
      <c r="V51" s="157">
        <v>93.662411438790301</v>
      </c>
      <c r="W51" s="157">
        <v>93.614018828748669</v>
      </c>
      <c r="X51" s="157">
        <v>93.565659672570106</v>
      </c>
      <c r="Y51" s="157">
        <v>93.517333943111382</v>
      </c>
      <c r="Z51" s="157">
        <v>93.469041613254589</v>
      </c>
      <c r="AA51" s="157">
        <v>93.420782655907175</v>
      </c>
      <c r="AB51" s="157">
        <v>93.372557044001539</v>
      </c>
      <c r="AC51" s="157">
        <v>93.324364750495334</v>
      </c>
      <c r="AD51" s="157">
        <v>93.276205748371439</v>
      </c>
      <c r="AE51">
        <v>93.22808001063747</v>
      </c>
      <c r="AF51" s="40">
        <v>93.179987510326541</v>
      </c>
    </row>
    <row r="52" spans="1:33" x14ac:dyDescent="0.35">
      <c r="A52" s="171" t="s">
        <v>463</v>
      </c>
      <c r="B52" s="160">
        <f>'ALGN(BS)'!N7*1000000</f>
        <v>612966000</v>
      </c>
      <c r="G52" s="40"/>
      <c r="S52" s="278">
        <f t="shared" ref="S52:S74" si="13">S51+250000000</f>
        <v>500000000</v>
      </c>
      <c r="T52" s="183">
        <v>95.004528246468837</v>
      </c>
      <c r="U52" s="157">
        <v>94.909102703737105</v>
      </c>
      <c r="V52" s="157">
        <v>94.813805199906099</v>
      </c>
      <c r="W52" s="157">
        <v>94.718635533373842</v>
      </c>
      <c r="X52" s="157">
        <v>94.623593502902025</v>
      </c>
      <c r="Y52" s="157">
        <v>94.528678907615188</v>
      </c>
      <c r="Z52" s="157">
        <v>94.433891546999945</v>
      </c>
      <c r="AA52" s="157">
        <v>94.339231220904296</v>
      </c>
      <c r="AB52" s="157">
        <v>94.244697729536867</v>
      </c>
      <c r="AC52" s="157">
        <v>94.150290873466332</v>
      </c>
      <c r="AD52" s="157">
        <v>94.056010453620331</v>
      </c>
      <c r="AE52">
        <v>93.961856271285157</v>
      </c>
      <c r="AF52" s="40">
        <v>93.867828128104691</v>
      </c>
    </row>
    <row r="53" spans="1:33" x14ac:dyDescent="0.35">
      <c r="A53" s="29"/>
      <c r="B53" s="160"/>
      <c r="G53" s="40"/>
      <c r="S53" s="278">
        <f t="shared" si="13"/>
        <v>750000000</v>
      </c>
      <c r="T53" s="183">
        <v>96.191950202648499</v>
      </c>
      <c r="U53" s="157">
        <v>96.051016693892166</v>
      </c>
      <c r="V53" s="157">
        <v>95.910358635363224</v>
      </c>
      <c r="W53" s="157">
        <v>95.769975395402696</v>
      </c>
      <c r="X53" s="157">
        <v>95.629866344010793</v>
      </c>
      <c r="Y53" s="157">
        <v>95.490030852841727</v>
      </c>
      <c r="Z53" s="157">
        <v>95.350468295198866</v>
      </c>
      <c r="AA53" s="157">
        <v>95.21117804602973</v>
      </c>
      <c r="AB53" s="157">
        <v>95.072159481921616</v>
      </c>
      <c r="AC53" s="157">
        <v>94.933411981095901</v>
      </c>
      <c r="AD53" s="157">
        <v>94.794934923404071</v>
      </c>
      <c r="AE53">
        <v>94.656727690322484</v>
      </c>
      <c r="AF53" s="40">
        <v>94.518789664947619</v>
      </c>
    </row>
    <row r="54" spans="1:33" x14ac:dyDescent="0.35">
      <c r="A54" s="29" t="s">
        <v>462</v>
      </c>
      <c r="B54" s="160">
        <f>B50-B51+B52</f>
        <v>2691635908.6003909</v>
      </c>
      <c r="G54" s="40"/>
      <c r="S54" s="278">
        <f t="shared" si="13"/>
        <v>1000000000</v>
      </c>
      <c r="T54" s="183">
        <v>97.325397698630709</v>
      </c>
      <c r="U54" s="157">
        <v>97.140374491499287</v>
      </c>
      <c r="V54" s="157">
        <v>96.95581990009903</v>
      </c>
      <c r="W54" s="157">
        <v>96.771732532052766</v>
      </c>
      <c r="X54" s="157">
        <v>96.588110999720243</v>
      </c>
      <c r="Y54" s="157">
        <v>96.40495392018093</v>
      </c>
      <c r="Z54" s="157">
        <v>96.222259915215801</v>
      </c>
      <c r="AA54" s="157">
        <v>96.040027611289077</v>
      </c>
      <c r="AB54" s="157">
        <v>95.858255639530455</v>
      </c>
      <c r="AC54" s="157">
        <v>95.676942635717424</v>
      </c>
      <c r="AD54" s="157">
        <v>95.496087240257239</v>
      </c>
      <c r="AE54">
        <v>95.315688098169289</v>
      </c>
      <c r="AF54" s="40">
        <v>95.135743859067659</v>
      </c>
    </row>
    <row r="55" spans="1:33" ht="23.5" x14ac:dyDescent="0.55000000000000004">
      <c r="A55" s="176" t="s">
        <v>461</v>
      </c>
      <c r="B55" s="177">
        <f>(B54/B$26)</f>
        <v>33.70147756395496</v>
      </c>
      <c r="G55" s="40"/>
      <c r="S55" s="278">
        <f t="shared" si="13"/>
        <v>1250000000</v>
      </c>
      <c r="T55" s="183">
        <v>98.408384591442825</v>
      </c>
      <c r="U55" s="157">
        <v>98.180647577559157</v>
      </c>
      <c r="V55" s="157">
        <v>97.953611857508719</v>
      </c>
      <c r="W55" s="157">
        <v>97.727274898156097</v>
      </c>
      <c r="X55" s="157">
        <v>97.501634176842998</v>
      </c>
      <c r="Y55" s="157">
        <v>97.276687181338986</v>
      </c>
      <c r="Z55" s="157">
        <v>97.0524314097933</v>
      </c>
      <c r="AA55" s="157">
        <v>96.82886437068656</v>
      </c>
      <c r="AB55" s="157">
        <v>96.605983582782642</v>
      </c>
      <c r="AC55" s="157">
        <v>96.383786575080904</v>
      </c>
      <c r="AD55" s="157">
        <v>96.162270886768638</v>
      </c>
      <c r="AE55">
        <v>95.941434067174072</v>
      </c>
      <c r="AF55" s="40">
        <v>95.721273675718749</v>
      </c>
    </row>
    <row r="56" spans="1:33" ht="15" thickBot="1" x14ac:dyDescent="0.4">
      <c r="A56" s="14"/>
      <c r="B56" s="41"/>
      <c r="C56" s="41"/>
      <c r="D56" s="41"/>
      <c r="E56" s="41"/>
      <c r="F56" s="41"/>
      <c r="G56" s="42"/>
      <c r="S56" s="278">
        <f t="shared" si="13"/>
        <v>1500000000</v>
      </c>
      <c r="T56" s="183">
        <v>99.444135254827302</v>
      </c>
      <c r="U56" s="157">
        <v>99.175016338371321</v>
      </c>
      <c r="V56" s="157">
        <v>98.906865436327934</v>
      </c>
      <c r="W56" s="157">
        <v>98.639678464966551</v>
      </c>
      <c r="X56" s="157">
        <v>98.373451360280868</v>
      </c>
      <c r="Y56" s="157">
        <v>98.108180077881926</v>
      </c>
      <c r="Z56" s="157">
        <v>97.843860592891318</v>
      </c>
      <c r="AA56" s="157">
        <v>97.580488899835387</v>
      </c>
      <c r="AB56" s="157">
        <v>97.318061012539602</v>
      </c>
      <c r="AC56" s="157">
        <v>97.056572964024539</v>
      </c>
      <c r="AD56" s="157">
        <v>96.796020806400975</v>
      </c>
      <c r="AE56">
        <v>96.536400610767117</v>
      </c>
      <c r="AF56" s="40">
        <v>96.277708467105512</v>
      </c>
    </row>
    <row r="57" spans="1:33" ht="15" thickBot="1" x14ac:dyDescent="0.4">
      <c r="S57" s="278">
        <f t="shared" si="13"/>
        <v>1750000000</v>
      </c>
      <c r="T57" s="183">
        <v>100.43561258168702</v>
      </c>
      <c r="U57" s="157">
        <v>100.1263988800082</v>
      </c>
      <c r="V57" s="157">
        <v>99.818449158618435</v>
      </c>
      <c r="W57" s="157">
        <v>99.511757358416858</v>
      </c>
      <c r="X57" s="157">
        <v>99.206317453553638</v>
      </c>
      <c r="Y57" s="157">
        <v>98.902123451224952</v>
      </c>
      <c r="Z57" s="157">
        <v>98.599169391468791</v>
      </c>
      <c r="AA57" s="157">
        <v>98.297449346962097</v>
      </c>
      <c r="AB57" s="157">
        <v>97.996957422820131</v>
      </c>
      <c r="AC57" s="157">
        <v>97.697687756396263</v>
      </c>
      <c r="AD57" s="157">
        <v>97.399634517083697</v>
      </c>
      <c r="AE57">
        <v>97.102791906118256</v>
      </c>
      <c r="AF57" s="40">
        <v>96.807154156382737</v>
      </c>
    </row>
    <row r="58" spans="1:33" ht="19" thickBot="1" x14ac:dyDescent="0.5">
      <c r="A58" s="168" t="s">
        <v>515</v>
      </c>
      <c r="B58" s="169">
        <v>2016</v>
      </c>
      <c r="C58" s="169">
        <v>2017</v>
      </c>
      <c r="D58" s="169">
        <v>2018</v>
      </c>
      <c r="E58" s="169">
        <v>2019</v>
      </c>
      <c r="F58" s="169">
        <v>2020</v>
      </c>
      <c r="G58" s="169" t="s">
        <v>467</v>
      </c>
      <c r="H58" s="170"/>
      <c r="I58" s="170"/>
      <c r="J58" s="170" t="s">
        <v>512</v>
      </c>
      <c r="K58" s="13" t="s">
        <v>514</v>
      </c>
      <c r="S58" s="278">
        <f t="shared" si="13"/>
        <v>2000000000</v>
      </c>
      <c r="T58" s="183">
        <v>101.38554299136855</v>
      </c>
      <c r="U58" s="183">
        <v>101.03747665725945</v>
      </c>
      <c r="V58" s="183">
        <v>100.69099530486316</v>
      </c>
      <c r="W58" s="183">
        <v>100.34609047118333</v>
      </c>
      <c r="X58" s="183">
        <v>100.00275374495007</v>
      </c>
      <c r="Y58" s="183">
        <v>99.660976766264781</v>
      </c>
      <c r="Z58" s="183">
        <v>99.320751226246472</v>
      </c>
      <c r="AA58" s="183">
        <v>98.982068866681871</v>
      </c>
      <c r="AB58" s="183">
        <v>98.644921479677109</v>
      </c>
      <c r="AC58" s="183">
        <v>98.309300907313272</v>
      </c>
      <c r="AD58" s="183">
        <v>97.975199041303341</v>
      </c>
      <c r="AE58">
        <v>97.642607822652735</v>
      </c>
      <c r="AF58" s="40">
        <v>97.311519241321719</v>
      </c>
      <c r="AG58">
        <f>AVERAGE(T58:AD58)</f>
        <v>99.668734314282858</v>
      </c>
    </row>
    <row r="59" spans="1:33" x14ac:dyDescent="0.35">
      <c r="A59" s="29"/>
      <c r="I59" s="12" t="s">
        <v>457</v>
      </c>
      <c r="J59" s="162">
        <f>B79</f>
        <v>6623782870</v>
      </c>
      <c r="K59" s="163">
        <f>J59</f>
        <v>6623782870</v>
      </c>
      <c r="S59" s="278">
        <f t="shared" si="13"/>
        <v>2250000000</v>
      </c>
      <c r="T59">
        <v>102.29643877220096</v>
      </c>
      <c r="U59">
        <v>101.91071728841868</v>
      </c>
      <c r="V59">
        <v>101.52692312679861</v>
      </c>
      <c r="W59">
        <v>101.14504499649848</v>
      </c>
      <c r="X59">
        <v>100.76507168238581</v>
      </c>
      <c r="Y59">
        <v>100.38699204446696</v>
      </c>
      <c r="Z59">
        <v>100.01079501732015</v>
      </c>
      <c r="AA59">
        <v>99.636469609533734</v>
      </c>
      <c r="AB59">
        <v>99.26400490314964</v>
      </c>
      <c r="AC59">
        <v>98.893390053110068</v>
      </c>
      <c r="AD59">
        <v>98.524614286710332</v>
      </c>
      <c r="AE59">
        <v>98.1576669030554</v>
      </c>
      <c r="AF59" s="40">
        <v>97.792537272520974</v>
      </c>
    </row>
    <row r="60" spans="1:33" x14ac:dyDescent="0.35">
      <c r="A60" s="29" t="s">
        <v>466</v>
      </c>
      <c r="B60">
        <f>B47</f>
        <v>129195545.08750002</v>
      </c>
      <c r="C60">
        <f t="shared" ref="C60:F60" si="14">C47</f>
        <v>148574876.85062501</v>
      </c>
      <c r="D60">
        <f t="shared" si="14"/>
        <v>166403862.0726999</v>
      </c>
      <c r="E60">
        <f t="shared" si="14"/>
        <v>183044248.27996993</v>
      </c>
      <c r="F60">
        <f t="shared" si="14"/>
        <v>201348673.10796699</v>
      </c>
      <c r="G60" s="33">
        <f>K62</f>
        <v>10145094009.090038</v>
      </c>
      <c r="I60" s="29" t="s">
        <v>510</v>
      </c>
      <c r="J60" s="160">
        <f>(S4+S7)*1000000</f>
        <v>390195923.42653996</v>
      </c>
      <c r="K60" s="35">
        <f>J60</f>
        <v>390195923.42653996</v>
      </c>
      <c r="L60">
        <v>400000000</v>
      </c>
      <c r="S60" s="278">
        <f t="shared" si="13"/>
        <v>2500000000</v>
      </c>
      <c r="T60">
        <v>103.17061805697317</v>
      </c>
      <c r="U60">
        <v>102.74839488567297</v>
      </c>
      <c r="V60">
        <v>102.32845946831009</v>
      </c>
      <c r="W60">
        <v>101.91079727292154</v>
      </c>
      <c r="X60">
        <v>101.49539387319146</v>
      </c>
      <c r="Y60">
        <v>101.08223494758708</v>
      </c>
      <c r="Z60">
        <v>100.67130627850202</v>
      </c>
      <c r="AA60">
        <v>100.26259375140761</v>
      </c>
      <c r="AB60">
        <v>99.8560833540121</v>
      </c>
      <c r="AC60">
        <v>99.45176117542718</v>
      </c>
      <c r="AD60">
        <v>99.049613405342157</v>
      </c>
      <c r="AE60">
        <v>98.649626333205759</v>
      </c>
      <c r="AF60" s="40">
        <v>98.251786347414935</v>
      </c>
    </row>
    <row r="61" spans="1:33" x14ac:dyDescent="0.35">
      <c r="A61" s="29" t="s">
        <v>465</v>
      </c>
      <c r="B61" s="160">
        <f>B60/(1+$B$33)^1</f>
        <v>116940210.97709994</v>
      </c>
      <c r="C61" s="160">
        <f>C60/(1+$B$33)^2</f>
        <v>121724513.59853813</v>
      </c>
      <c r="D61" s="160">
        <f>D60/(1+$B$33)^3</f>
        <v>123399217.26137094</v>
      </c>
      <c r="E61" s="160">
        <f>E60/(1+$B$33)^4</f>
        <v>122863087.42533316</v>
      </c>
      <c r="F61" s="160">
        <f>F60/(1+$B$33)^5</f>
        <v>122329286.90067571</v>
      </c>
      <c r="G61" s="160">
        <f>G60/(1+$B$33)^5</f>
        <v>6163646854.5627375</v>
      </c>
      <c r="I61" s="29" t="s">
        <v>511</v>
      </c>
      <c r="J61" s="161">
        <f>J59/J60</f>
        <v>16.975530681696174</v>
      </c>
      <c r="K61" s="166">
        <v>26</v>
      </c>
      <c r="L61" s="161">
        <f>K61</f>
        <v>26</v>
      </c>
      <c r="S61" s="278">
        <f t="shared" si="13"/>
        <v>2750000000</v>
      </c>
      <c r="T61">
        <v>104.01022269764233</v>
      </c>
      <c r="U61">
        <v>103.55260819256678</v>
      </c>
      <c r="V61">
        <v>103.09765710972505</v>
      </c>
      <c r="W61">
        <v>102.64535127780387</v>
      </c>
      <c r="X61">
        <v>102.19567266736891</v>
      </c>
      <c r="Y61">
        <v>101.74860338961807</v>
      </c>
      <c r="Z61">
        <v>101.30412569514711</v>
      </c>
      <c r="AA61">
        <v>100.86222197272754</v>
      </c>
      <c r="AB61">
        <v>100.42287474809642</v>
      </c>
      <c r="AC61">
        <v>99.986066682757212</v>
      </c>
      <c r="AD61">
        <v>99.551780572792978</v>
      </c>
      <c r="AE61">
        <v>99.119999347691376</v>
      </c>
      <c r="AF61" s="40">
        <v>98.690706069180052</v>
      </c>
    </row>
    <row r="62" spans="1:33" x14ac:dyDescent="0.35">
      <c r="A62" s="29"/>
      <c r="I62" s="29" t="s">
        <v>469</v>
      </c>
      <c r="J62" s="33">
        <f>J60*J61</f>
        <v>6623782870</v>
      </c>
      <c r="K62" s="35">
        <f>K60*K61</f>
        <v>10145094009.090038</v>
      </c>
      <c r="L62" s="35">
        <f>L60*L61</f>
        <v>10400000000</v>
      </c>
      <c r="S62" s="278">
        <f t="shared" si="13"/>
        <v>3000000000</v>
      </c>
      <c r="T62">
        <v>104.81723427628415</v>
      </c>
      <c r="U62">
        <v>104.32529678537088</v>
      </c>
      <c r="V62">
        <v>103.8364111110011</v>
      </c>
      <c r="W62">
        <v>103.35055506235717</v>
      </c>
      <c r="X62">
        <v>102.8677066332679</v>
      </c>
      <c r="Y62">
        <v>102.38784400047984</v>
      </c>
      <c r="Z62">
        <v>101.9109455219465</v>
      </c>
      <c r="AA62">
        <v>101.43698973513533</v>
      </c>
      <c r="AB62">
        <v>100.96595535535251</v>
      </c>
      <c r="AC62">
        <v>100.49782127408477</v>
      </c>
      <c r="AD62">
        <v>100.03256655735852</v>
      </c>
      <c r="AE62">
        <v>99.57017044411603</v>
      </c>
      <c r="AF62" s="40">
        <v>99.110612344608342</v>
      </c>
    </row>
    <row r="63" spans="1:33" x14ac:dyDescent="0.35">
      <c r="A63" s="29" t="s">
        <v>464</v>
      </c>
      <c r="B63" s="160">
        <f>SUM(B61:G61)</f>
        <v>6770903170.7257557</v>
      </c>
      <c r="I63" s="29" t="s">
        <v>450</v>
      </c>
      <c r="J63" s="33">
        <f>B26</f>
        <v>79867000</v>
      </c>
      <c r="K63" s="35">
        <f>B26</f>
        <v>79867000</v>
      </c>
      <c r="S63" s="278">
        <f t="shared" si="13"/>
        <v>3250000000</v>
      </c>
      <c r="T63">
        <v>105.59348846250241</v>
      </c>
      <c r="U63">
        <v>105.06825556420088</v>
      </c>
      <c r="V63">
        <v>104.5464733942861</v>
      </c>
      <c r="W63">
        <v>104.02811538235207</v>
      </c>
      <c r="X63">
        <v>103.51315519209606</v>
      </c>
      <c r="Y63">
        <v>103.00156671899832</v>
      </c>
      <c r="Z63">
        <v>102.49332408802641</v>
      </c>
      <c r="AA63">
        <v>101.98840165136593</v>
      </c>
      <c r="AB63">
        <v>101.48677398617525</v>
      </c>
      <c r="AC63">
        <v>100.98841589236548</v>
      </c>
      <c r="AD63">
        <v>100.49330239040437</v>
      </c>
      <c r="AE63">
        <v>100.00140871914461</v>
      </c>
      <c r="AF63" s="40">
        <v>99.512710333675571</v>
      </c>
    </row>
    <row r="64" spans="1:33" ht="21.5" thickBot="1" x14ac:dyDescent="0.55000000000000004">
      <c r="A64" s="171" t="s">
        <v>453</v>
      </c>
      <c r="B64" s="33">
        <f>B51</f>
        <v>0</v>
      </c>
      <c r="I64" s="164" t="s">
        <v>449</v>
      </c>
      <c r="J64" s="165">
        <f>J62/J63</f>
        <v>82.935165587789697</v>
      </c>
      <c r="K64" s="167">
        <f>K62/K63</f>
        <v>127.02485393328958</v>
      </c>
      <c r="S64" s="278">
        <f t="shared" si="13"/>
        <v>3500000000</v>
      </c>
      <c r="T64">
        <v>106.34068790330309</v>
      </c>
      <c r="U64">
        <v>105.78314773223717</v>
      </c>
      <c r="V64">
        <v>105.2294657756879</v>
      </c>
      <c r="W64">
        <v>104.67961074484587</v>
      </c>
      <c r="X64">
        <v>104.13355164122669</v>
      </c>
      <c r="Y64">
        <v>103.59125775364002</v>
      </c>
      <c r="Z64">
        <v>103.05269865519429</v>
      </c>
      <c r="AA64">
        <v>102.51784420033592</v>
      </c>
      <c r="AB64">
        <v>101.98666452192222</v>
      </c>
      <c r="AC64">
        <v>101.4591300283292</v>
      </c>
      <c r="AD64">
        <v>100.93521140059178</v>
      </c>
      <c r="AE64">
        <v>100.41487958957752</v>
      </c>
      <c r="AF64" s="40">
        <v>99.898105813192501</v>
      </c>
    </row>
    <row r="65" spans="1:32" x14ac:dyDescent="0.35">
      <c r="A65" s="171" t="s">
        <v>463</v>
      </c>
      <c r="B65" s="33">
        <f>B52</f>
        <v>612966000</v>
      </c>
      <c r="K65" s="40"/>
      <c r="S65" s="278">
        <f t="shared" si="13"/>
        <v>3750000000</v>
      </c>
      <c r="T65">
        <v>107.06041380976879</v>
      </c>
      <c r="U65">
        <v>106.47151643714857</v>
      </c>
      <c r="V65">
        <v>105.88689162938081</v>
      </c>
      <c r="W65">
        <v>105.30650306229724</v>
      </c>
      <c r="X65">
        <v>104.73031476504818</v>
      </c>
      <c r="Y65">
        <v>104.15829111623746</v>
      </c>
      <c r="Z65">
        <v>103.59039684010267</v>
      </c>
      <c r="AA65">
        <v>103.02659700274234</v>
      </c>
      <c r="AB65">
        <v>102.46685700838941</v>
      </c>
      <c r="AC65">
        <v>101.91114259572896</v>
      </c>
      <c r="AD65">
        <v>101.35941983426096</v>
      </c>
      <c r="AE65">
        <v>100.81165512070666</v>
      </c>
      <c r="AF65" s="40">
        <v>100.26781517545884</v>
      </c>
    </row>
    <row r="66" spans="1:32" x14ac:dyDescent="0.35">
      <c r="A66" s="29"/>
      <c r="K66" s="40"/>
      <c r="S66" s="278">
        <f t="shared" si="13"/>
        <v>4000000000</v>
      </c>
      <c r="T66">
        <v>107.75413638558229</v>
      </c>
      <c r="U66">
        <v>107.13479522750836</v>
      </c>
      <c r="V66">
        <v>106.52014634393709</v>
      </c>
      <c r="W66">
        <v>105.91014808037428</v>
      </c>
      <c r="X66">
        <v>105.30475920536176</v>
      </c>
      <c r="Y66">
        <v>104.70393890564544</v>
      </c>
      <c r="Z66">
        <v>104.10764678140328</v>
      </c>
      <c r="AA66">
        <v>103.51584284153408</v>
      </c>
      <c r="AB66">
        <v>102.92848749900654</v>
      </c>
      <c r="AC66">
        <v>102.34554156626621</v>
      </c>
      <c r="AD66">
        <v>101.76696625070075</v>
      </c>
      <c r="AE66">
        <v>101.19272315016282</v>
      </c>
      <c r="AF66" s="40">
        <v>100.62277424854825</v>
      </c>
    </row>
    <row r="67" spans="1:32" x14ac:dyDescent="0.35">
      <c r="A67" s="29" t="s">
        <v>462</v>
      </c>
      <c r="B67" s="33">
        <f>B63-B64+B65</f>
        <v>7383869170.7257557</v>
      </c>
      <c r="K67" s="40"/>
      <c r="S67" s="278">
        <f t="shared" si="13"/>
        <v>4250000000</v>
      </c>
      <c r="T67">
        <v>108.42322422538075</v>
      </c>
      <c r="U67">
        <v>107.77431745831632</v>
      </c>
      <c r="V67">
        <v>107.13052671057891</v>
      </c>
      <c r="W67">
        <v>106.49180472415509</v>
      </c>
      <c r="X67">
        <v>105.85810474041062</v>
      </c>
      <c r="Y67">
        <v>105.22938049415494</v>
      </c>
      <c r="Z67">
        <v>104.60558620778374</v>
      </c>
      <c r="AA67">
        <v>103.98667658549856</v>
      </c>
      <c r="AB67">
        <v>103.37260680760325</v>
      </c>
      <c r="AC67">
        <v>102.76333252487476</v>
      </c>
      <c r="AD67">
        <v>102.15880985300761</v>
      </c>
      <c r="AE67">
        <v>101.5589953671322</v>
      </c>
      <c r="AF67" s="40">
        <v>100.96384609640388</v>
      </c>
    </row>
    <row r="68" spans="1:32" ht="24" thickBot="1" x14ac:dyDescent="0.6">
      <c r="A68" s="172" t="s">
        <v>461</v>
      </c>
      <c r="B68" s="173">
        <f>(B67/B$26)</f>
        <v>92.452066194119666</v>
      </c>
      <c r="C68" s="41"/>
      <c r="D68" s="41"/>
      <c r="E68" s="41"/>
      <c r="F68" s="41"/>
      <c r="G68" s="41"/>
      <c r="H68" s="41"/>
      <c r="I68" s="41"/>
      <c r="J68" s="41"/>
      <c r="K68" s="42"/>
      <c r="S68" s="278">
        <f t="shared" si="13"/>
        <v>4500000000</v>
      </c>
      <c r="T68">
        <v>109.06895279585439</v>
      </c>
      <c r="U68">
        <v>108.39132476340401</v>
      </c>
      <c r="V68">
        <v>107.71923936551987</v>
      </c>
      <c r="W68">
        <v>107.05264348878032</v>
      </c>
      <c r="X68">
        <v>106.39148460197261</v>
      </c>
      <c r="Y68">
        <v>105.73571074891593</v>
      </c>
      <c r="Z68">
        <v>105.08527054138045</v>
      </c>
      <c r="AA68">
        <v>104.44011315210493</v>
      </c>
      <c r="AB68">
        <v>103.80018830790827</v>
      </c>
      <c r="AC68">
        <v>103.16544628289638</v>
      </c>
      <c r="AD68">
        <v>102.53583789175984</v>
      </c>
      <c r="AE68">
        <v>101.91131448316452</v>
      </c>
      <c r="AF68" s="40">
        <v>101.29182793323034</v>
      </c>
    </row>
    <row r="69" spans="1:32" x14ac:dyDescent="0.35">
      <c r="S69" s="278">
        <f t="shared" si="13"/>
        <v>4750000000</v>
      </c>
      <c r="T69">
        <v>109.69251209923229</v>
      </c>
      <c r="U69">
        <v>108.98697469822481</v>
      </c>
      <c r="V69">
        <v>108.28740839334827</v>
      </c>
      <c r="W69">
        <v>107.59375398453275</v>
      </c>
      <c r="X69">
        <v>106.9059529430652</v>
      </c>
      <c r="Y69">
        <v>106.22394740302694</v>
      </c>
      <c r="Z69">
        <v>105.54768015285185</v>
      </c>
      <c r="AA69">
        <v>104.87709462700373</v>
      </c>
      <c r="AB69">
        <v>104.21213489777207</v>
      </c>
      <c r="AC69">
        <v>103.55274566718258</v>
      </c>
      <c r="AD69">
        <v>102.89887225902213</v>
      </c>
      <c r="AE69">
        <v>102.25046061097562</v>
      </c>
      <c r="AF69" s="40">
        <v>101.60745726687345</v>
      </c>
    </row>
    <row r="70" spans="1:32" x14ac:dyDescent="0.35">
      <c r="S70" s="278">
        <f t="shared" si="13"/>
        <v>5000000000</v>
      </c>
      <c r="T70">
        <v>110.29501360713725</v>
      </c>
      <c r="U70">
        <v>109.56234764406572</v>
      </c>
      <c r="V70">
        <v>108.83608218519217</v>
      </c>
      <c r="W70">
        <v>108.11615173242618</v>
      </c>
      <c r="X70">
        <v>107.40249155430351</v>
      </c>
      <c r="Y70">
        <v>106.69503767589427</v>
      </c>
      <c r="Z70">
        <v>105.99372686885907</v>
      </c>
      <c r="AA70">
        <v>105.29849664165015</v>
      </c>
      <c r="AB70">
        <v>104.60928522985513</v>
      </c>
      <c r="AC70">
        <v>103.92603158668142</v>
      </c>
      <c r="AD70">
        <v>103.24867537357919</v>
      </c>
      <c r="AE70">
        <v>102.57715695099948</v>
      </c>
      <c r="AF70" s="40">
        <v>101.91141736928709</v>
      </c>
    </row>
    <row r="71" spans="1:32" x14ac:dyDescent="0.35">
      <c r="J71" t="s">
        <v>692</v>
      </c>
      <c r="K71">
        <f>B30/B26</f>
        <v>0</v>
      </c>
      <c r="S71" s="278">
        <f t="shared" si="13"/>
        <v>5250000000</v>
      </c>
      <c r="T71">
        <v>110.87749654253574</v>
      </c>
      <c r="U71">
        <v>110.1184530538299</v>
      </c>
      <c r="V71">
        <v>109.36623963393708</v>
      </c>
      <c r="W71">
        <v>108.62078429437469</v>
      </c>
      <c r="X71">
        <v>107.88201591445971</v>
      </c>
      <c r="Y71">
        <v>107.14986422954446</v>
      </c>
      <c r="Z71">
        <v>106.42425981942897</v>
      </c>
      <c r="AA71">
        <v>105.7051340969479</v>
      </c>
      <c r="AB71">
        <v>104.9924192967282</v>
      </c>
      <c r="AC71">
        <v>104.28604846411575</v>
      </c>
      <c r="AD71">
        <v>103.58595544426754</v>
      </c>
      <c r="AE71">
        <v>102.89207487140617</v>
      </c>
      <c r="AF71" s="40">
        <v>102.20434215823548</v>
      </c>
    </row>
    <row r="72" spans="1:32" x14ac:dyDescent="0.35">
      <c r="J72" t="s">
        <v>693</v>
      </c>
      <c r="K72">
        <f>B63/B26</f>
        <v>84.777231781909364</v>
      </c>
      <c r="S72" s="278">
        <f t="shared" si="13"/>
        <v>5500000000</v>
      </c>
      <c r="T72">
        <v>111.44093357851908</v>
      </c>
      <c r="U72">
        <v>110.65623511003389</v>
      </c>
      <c r="V72">
        <v>109.87879573878941</v>
      </c>
      <c r="W72">
        <v>109.10853681161879</v>
      </c>
      <c r="X72">
        <v>108.34538065000152</v>
      </c>
      <c r="Y72">
        <v>107.5892505364826</v>
      </c>
      <c r="Z72">
        <v>106.84007070130014</v>
      </c>
      <c r="AA72">
        <v>106.0977663092209</v>
      </c>
      <c r="AB72">
        <v>105.3622634465775</v>
      </c>
      <c r="AC72">
        <v>104.63348910850672</v>
      </c>
      <c r="AD72">
        <v>103.9113711863825</v>
      </c>
      <c r="AE72">
        <v>103.19583845544307</v>
      </c>
      <c r="AF72" s="40">
        <v>102.48682056260684</v>
      </c>
    </row>
    <row r="73" spans="1:32" x14ac:dyDescent="0.35">
      <c r="S73" s="278">
        <f t="shared" si="13"/>
        <v>5750000000</v>
      </c>
      <c r="T73">
        <v>111.9862360147407</v>
      </c>
      <c r="U73">
        <v>111.17657785735538</v>
      </c>
      <c r="V73">
        <v>110.37460668280431</v>
      </c>
      <c r="W73">
        <v>109.58023701607706</v>
      </c>
      <c r="X73">
        <v>108.79338446908808</v>
      </c>
      <c r="Y73">
        <v>108.01396572513464</v>
      </c>
      <c r="Z73">
        <v>107.2418985236009</v>
      </c>
      <c r="AA73">
        <v>106.47710164490437</v>
      </c>
      <c r="AB73">
        <v>105.71949489568129</v>
      </c>
      <c r="AC73">
        <v>104.96899909420517</v>
      </c>
      <c r="AD73">
        <v>104.22553605603593</v>
      </c>
      <c r="AE73">
        <v>103.48902857989499</v>
      </c>
      <c r="AF73" s="40">
        <v>102.75940043376161</v>
      </c>
    </row>
    <row r="74" spans="1:32" ht="15" thickBot="1" x14ac:dyDescent="0.4">
      <c r="S74" s="279">
        <f t="shared" si="13"/>
        <v>6000000000</v>
      </c>
      <c r="T74" s="41">
        <v>112.51425848540374</v>
      </c>
      <c r="U74" s="41">
        <v>111.68030986480764</v>
      </c>
      <c r="V74" s="41">
        <v>110.85447443944273</v>
      </c>
      <c r="W74" s="41">
        <v>110.03665977147544</v>
      </c>
      <c r="X74" s="41">
        <v>109.22677462745739</v>
      </c>
      <c r="Y74" s="41">
        <v>108.42472896067947</v>
      </c>
      <c r="Z74" s="41">
        <v>107.63043389381458</v>
      </c>
      <c r="AA74" s="41">
        <v>106.84380170184049</v>
      </c>
      <c r="AB74" s="41">
        <v>106.06474579524145</v>
      </c>
      <c r="AC74" s="41">
        <v>105.2931807034802</v>
      </c>
      <c r="AD74" s="41">
        <v>104.52902205873724</v>
      </c>
      <c r="AE74" s="41">
        <v>103.77218657991325</v>
      </c>
      <c r="AF74" s="42">
        <v>103.02259205688814</v>
      </c>
    </row>
    <row r="75" spans="1:32" x14ac:dyDescent="0.35">
      <c r="T75">
        <f>AVERAGE(T51:T58)</f>
        <v>97.744356087029388</v>
      </c>
    </row>
    <row r="76" spans="1:32" ht="15" thickBot="1" x14ac:dyDescent="0.4">
      <c r="A76" s="23" t="s">
        <v>460</v>
      </c>
    </row>
    <row r="77" spans="1:32" x14ac:dyDescent="0.35">
      <c r="A77" t="s">
        <v>459</v>
      </c>
      <c r="B77" s="24">
        <f>S4*1000000</f>
        <v>359889443.93709993</v>
      </c>
      <c r="AC77" s="282" t="s">
        <v>680</v>
      </c>
      <c r="AD77" s="174">
        <f>MIN(T50:AD58)</f>
        <v>92.452066194119666</v>
      </c>
    </row>
    <row r="78" spans="1:32" x14ac:dyDescent="0.35">
      <c r="A78" t="s">
        <v>458</v>
      </c>
      <c r="B78" s="24">
        <f>N4*1000000</f>
        <v>188634000</v>
      </c>
      <c r="AC78" s="283" t="s">
        <v>679</v>
      </c>
      <c r="AD78" s="284">
        <f>MAX(T50:AD58)</f>
        <v>101.38554299136855</v>
      </c>
    </row>
    <row r="79" spans="1:32" ht="15" thickBot="1" x14ac:dyDescent="0.4">
      <c r="A79" t="s">
        <v>457</v>
      </c>
      <c r="B79" s="24">
        <f>(B31+B30-B52)</f>
        <v>6623782870</v>
      </c>
      <c r="AC79" s="285" t="s">
        <v>681</v>
      </c>
      <c r="AD79" s="286">
        <f>AVERAGE(T50:AD58)</f>
        <v>96.263076373088722</v>
      </c>
    </row>
    <row r="80" spans="1:32" x14ac:dyDescent="0.35">
      <c r="B80" s="25" t="s">
        <v>456</v>
      </c>
      <c r="C80" s="26">
        <v>-5</v>
      </c>
      <c r="D80" s="27">
        <v>-4</v>
      </c>
      <c r="E80" s="27">
        <v>-3</v>
      </c>
      <c r="F80" s="101">
        <v>-2</v>
      </c>
      <c r="G80" s="101">
        <v>-1</v>
      </c>
      <c r="H80" s="102">
        <v>1</v>
      </c>
      <c r="I80" s="101">
        <v>2</v>
      </c>
      <c r="J80" s="27">
        <v>3</v>
      </c>
      <c r="K80" s="27">
        <v>4</v>
      </c>
      <c r="L80" s="28">
        <v>5</v>
      </c>
    </row>
    <row r="81" spans="1:12" x14ac:dyDescent="0.35">
      <c r="A81" t="s">
        <v>455</v>
      </c>
      <c r="B81" s="33">
        <f>B79/B78</f>
        <v>35.114469660824668</v>
      </c>
      <c r="C81" s="34">
        <f t="shared" ref="C81:L81" si="15">$B$81+C80</f>
        <v>30.114469660824668</v>
      </c>
      <c r="D81" s="33">
        <f t="shared" si="15"/>
        <v>31.114469660824668</v>
      </c>
      <c r="E81" s="33">
        <f t="shared" si="15"/>
        <v>32.114469660824668</v>
      </c>
      <c r="F81" s="103">
        <f t="shared" si="15"/>
        <v>33.114469660824668</v>
      </c>
      <c r="G81" s="103">
        <f t="shared" si="15"/>
        <v>34.114469660824668</v>
      </c>
      <c r="H81" s="104">
        <f t="shared" si="15"/>
        <v>36.114469660824668</v>
      </c>
      <c r="I81" s="103">
        <f t="shared" si="15"/>
        <v>37.114469660824668</v>
      </c>
      <c r="J81" s="33">
        <f t="shared" si="15"/>
        <v>38.114469660824668</v>
      </c>
      <c r="K81" s="33">
        <f t="shared" si="15"/>
        <v>39.114469660824668</v>
      </c>
      <c r="L81" s="35">
        <f t="shared" si="15"/>
        <v>40.114469660824668</v>
      </c>
    </row>
    <row r="82" spans="1:12" x14ac:dyDescent="0.35">
      <c r="A82" t="s">
        <v>454</v>
      </c>
      <c r="B82" s="33">
        <f>$B$77*B81</f>
        <v>12637326960.380356</v>
      </c>
      <c r="C82" s="34">
        <f t="shared" ref="C82:L82" si="16">$B$77*C81</f>
        <v>10837879740.694857</v>
      </c>
      <c r="D82" s="33">
        <f t="shared" si="16"/>
        <v>11197769184.631956</v>
      </c>
      <c r="E82" s="33">
        <f t="shared" si="16"/>
        <v>11557658628.569056</v>
      </c>
      <c r="F82" s="103">
        <f t="shared" si="16"/>
        <v>11917548072.506155</v>
      </c>
      <c r="G82" s="103">
        <f t="shared" si="16"/>
        <v>12277437516.443256</v>
      </c>
      <c r="H82" s="105">
        <f t="shared" si="16"/>
        <v>12997216404.317455</v>
      </c>
      <c r="I82" s="103">
        <f t="shared" si="16"/>
        <v>13357105848.254555</v>
      </c>
      <c r="J82" s="33">
        <f t="shared" si="16"/>
        <v>13716995292.191656</v>
      </c>
      <c r="K82" s="33">
        <f t="shared" si="16"/>
        <v>14076884736.128756</v>
      </c>
      <c r="L82" s="35">
        <f t="shared" si="16"/>
        <v>14436774180.065855</v>
      </c>
    </row>
    <row r="83" spans="1:12" x14ac:dyDescent="0.35">
      <c r="A83" s="4" t="s">
        <v>453</v>
      </c>
      <c r="B83" s="33">
        <f>B51</f>
        <v>0</v>
      </c>
      <c r="C83" s="29"/>
      <c r="F83" s="106"/>
      <c r="G83" s="106"/>
      <c r="H83" s="107"/>
      <c r="I83" s="106"/>
      <c r="L83" s="40"/>
    </row>
    <row r="84" spans="1:12" x14ac:dyDescent="0.35">
      <c r="A84" s="4" t="s">
        <v>452</v>
      </c>
      <c r="B84" s="33">
        <f>B52</f>
        <v>612966000</v>
      </c>
      <c r="C84" s="29"/>
      <c r="F84" s="106"/>
      <c r="G84" s="106"/>
      <c r="H84" s="107"/>
      <c r="I84" s="106"/>
      <c r="L84" s="40"/>
    </row>
    <row r="85" spans="1:12" x14ac:dyDescent="0.35">
      <c r="A85" t="s">
        <v>451</v>
      </c>
      <c r="B85" s="30">
        <f t="shared" ref="B85:L85" si="17">B82-$B$83+$B$84</f>
        <v>13250292960.380356</v>
      </c>
      <c r="C85" s="31">
        <f t="shared" si="17"/>
        <v>11450845740.694857</v>
      </c>
      <c r="D85" s="30">
        <f t="shared" si="17"/>
        <v>11810735184.631956</v>
      </c>
      <c r="E85" s="30">
        <f t="shared" si="17"/>
        <v>12170624628.569056</v>
      </c>
      <c r="F85" s="108">
        <f t="shared" si="17"/>
        <v>12530514072.506155</v>
      </c>
      <c r="G85" s="108">
        <f t="shared" si="17"/>
        <v>12890403516.443256</v>
      </c>
      <c r="H85" s="109">
        <f t="shared" si="17"/>
        <v>13610182404.317455</v>
      </c>
      <c r="I85" s="108">
        <f t="shared" si="17"/>
        <v>13970071848.254555</v>
      </c>
      <c r="J85" s="30">
        <f t="shared" si="17"/>
        <v>14329961292.191656</v>
      </c>
      <c r="K85" s="30">
        <f t="shared" si="17"/>
        <v>14689850736.128756</v>
      </c>
      <c r="L85" s="32">
        <f t="shared" si="17"/>
        <v>15049740180.065855</v>
      </c>
    </row>
    <row r="86" spans="1:12" x14ac:dyDescent="0.35">
      <c r="A86" t="s">
        <v>450</v>
      </c>
      <c r="B86" s="33">
        <f>B26</f>
        <v>79867000</v>
      </c>
      <c r="C86" s="34"/>
      <c r="D86" s="33"/>
      <c r="E86" s="33"/>
      <c r="F86" s="103"/>
      <c r="G86" s="103"/>
      <c r="H86" s="105"/>
      <c r="I86" s="103"/>
      <c r="J86" s="33"/>
      <c r="K86" s="33"/>
      <c r="L86" s="35"/>
    </row>
    <row r="87" spans="1:12" ht="21.5" thickBot="1" x14ac:dyDescent="0.55000000000000004">
      <c r="A87" s="36" t="s">
        <v>449</v>
      </c>
      <c r="B87" s="36">
        <f t="shared" ref="B87:L87" si="18">B85/$B$86</f>
        <v>165.90447819976154</v>
      </c>
      <c r="C87" s="37">
        <f t="shared" si="18"/>
        <v>143.37393091883828</v>
      </c>
      <c r="D87" s="38">
        <f t="shared" si="18"/>
        <v>147.88004037502293</v>
      </c>
      <c r="E87" s="38">
        <f t="shared" si="18"/>
        <v>152.38614983120758</v>
      </c>
      <c r="F87" s="110">
        <f t="shared" si="18"/>
        <v>156.89225928739222</v>
      </c>
      <c r="G87" s="158">
        <f t="shared" si="18"/>
        <v>161.3983687435769</v>
      </c>
      <c r="H87" s="159">
        <f t="shared" si="18"/>
        <v>170.41058765594619</v>
      </c>
      <c r="I87" s="110">
        <f t="shared" si="18"/>
        <v>174.91669711213086</v>
      </c>
      <c r="J87" s="38">
        <f t="shared" si="18"/>
        <v>179.42280656831554</v>
      </c>
      <c r="K87" s="38">
        <f t="shared" si="18"/>
        <v>183.92891602450018</v>
      </c>
      <c r="L87" s="39">
        <f t="shared" si="18"/>
        <v>188.43502548068483</v>
      </c>
    </row>
    <row r="88" spans="1:12" ht="21" x14ac:dyDescent="0.5">
      <c r="G88" s="289">
        <f>AVERAGE(F87:I87)</f>
        <v>165.90447819976154</v>
      </c>
      <c r="H88" s="290"/>
    </row>
    <row r="93" spans="1:12" x14ac:dyDescent="0.35">
      <c r="F93" s="160"/>
    </row>
  </sheetData>
  <mergeCells count="3">
    <mergeCell ref="G88:H88"/>
    <mergeCell ref="Z16:AB16"/>
    <mergeCell ref="Y47:AA4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8"/>
  <sheetViews>
    <sheetView tabSelected="1" zoomScale="70" zoomScaleNormal="70" workbookViewId="0">
      <selection activeCell="F3" sqref="F3"/>
    </sheetView>
  </sheetViews>
  <sheetFormatPr defaultRowHeight="14.5" x14ac:dyDescent="0.35"/>
  <cols>
    <col min="1" max="1" width="33" bestFit="1" customWidth="1"/>
    <col min="6" max="6" width="17.26953125" bestFit="1" customWidth="1"/>
    <col min="7" max="12" width="15" bestFit="1" customWidth="1"/>
    <col min="13" max="13" width="17.26953125" bestFit="1" customWidth="1"/>
    <col min="14" max="14" width="18.453125" bestFit="1" customWidth="1"/>
  </cols>
  <sheetData>
    <row r="1" spans="1:16" x14ac:dyDescent="0.35">
      <c r="A1" t="s">
        <v>527</v>
      </c>
      <c r="F1">
        <f>'ALGN(BS_Annual)'!C22</f>
        <v>184.517</v>
      </c>
      <c r="G1">
        <f>'ALGN(BS_Annual)'!D22</f>
        <v>177.90700000000001</v>
      </c>
      <c r="H1">
        <f>'ALGN(BS_Annual)'!E22</f>
        <v>261.29899999999998</v>
      </c>
      <c r="I1">
        <f>'ALGN(BS_Annual)'!F22</f>
        <v>388.61099999999999</v>
      </c>
      <c r="J1">
        <f>'ALGN(BS_Annual)'!G22</f>
        <v>384.81599999999997</v>
      </c>
      <c r="K1">
        <f>'ALGN(BS_Annual)'!H22</f>
        <v>485.79300000000001</v>
      </c>
      <c r="L1">
        <f>'ALGN(BS_Annual)'!I22</f>
        <v>544.67600000000004</v>
      </c>
      <c r="M1">
        <f>'ALGN(BS_Annual)'!J22</f>
        <v>657.16</v>
      </c>
      <c r="N1">
        <f>'ALGN(BS_Annual)'!K22</f>
        <v>732.01</v>
      </c>
    </row>
    <row r="2" spans="1:16" x14ac:dyDescent="0.35">
      <c r="A2" t="s">
        <v>528</v>
      </c>
      <c r="F2">
        <f>'ALGN(BS_Annual)'!C36</f>
        <v>222.761</v>
      </c>
      <c r="G2">
        <f>'ALGN(BS_Annual)'!D36</f>
        <v>279.34100000000001</v>
      </c>
      <c r="H2">
        <f>'ALGN(BS_Annual)'!E36</f>
        <v>355.24</v>
      </c>
      <c r="I2">
        <f>'ALGN(BS_Annual)'!F36</f>
        <v>476.94299999999998</v>
      </c>
      <c r="J2">
        <f>'ALGN(BS_Annual)'!G36</f>
        <v>649.26400000000001</v>
      </c>
      <c r="K2">
        <f>'ALGN(BS_Annual)'!H36</f>
        <v>756.31200000000001</v>
      </c>
      <c r="L2">
        <f>'ALGN(BS_Annual)'!I36</f>
        <v>832.14700000000005</v>
      </c>
      <c r="M2">
        <f>'ALGN(BS_Annual)'!J36</f>
        <v>987.99699999999996</v>
      </c>
      <c r="N2">
        <f>'ALGN(BS_Annual)'!K36</f>
        <v>1158.633</v>
      </c>
    </row>
    <row r="3" spans="1:16" x14ac:dyDescent="0.35">
      <c r="A3" t="s">
        <v>529</v>
      </c>
      <c r="F3">
        <f>'ALGN(BS_Annual)'!C51</f>
        <v>61.459000000000003</v>
      </c>
      <c r="G3">
        <f>'ALGN(BS_Annual)'!D51</f>
        <v>60.572000000000003</v>
      </c>
      <c r="H3">
        <f>'ALGN(BS_Annual)'!E51</f>
        <v>81.242999999999995</v>
      </c>
      <c r="I3">
        <f>'ALGN(BS_Annual)'!F51</f>
        <v>92.974000000000004</v>
      </c>
      <c r="J3">
        <f>'ALGN(BS_Annual)'!G51</f>
        <v>148.11699999999999</v>
      </c>
      <c r="K3">
        <f>'ALGN(BS_Annual)'!H51</f>
        <v>155.77099999999999</v>
      </c>
      <c r="L3">
        <f>'ALGN(BS_Annual)'!I51</f>
        <v>175.33799999999999</v>
      </c>
      <c r="M3">
        <f>'ALGN(BS_Annual)'!J51</f>
        <v>201.81100000000001</v>
      </c>
      <c r="N3">
        <f>'ALGN(BS_Annual)'!K51</f>
        <v>271.67200000000003</v>
      </c>
    </row>
    <row r="4" spans="1:16" x14ac:dyDescent="0.35">
      <c r="A4" t="s">
        <v>530</v>
      </c>
      <c r="F4">
        <f>'ALGN(BS_Annual)'!C64</f>
        <v>61.606999999999999</v>
      </c>
      <c r="G4">
        <f>'ALGN(BS_Annual)'!D64</f>
        <v>60.801000000000002</v>
      </c>
      <c r="H4">
        <f>'ALGN(BS_Annual)'!E64</f>
        <v>82.203999999999994</v>
      </c>
      <c r="I4">
        <f>'ALGN(BS_Annual)'!F64</f>
        <v>99.195999999999998</v>
      </c>
      <c r="J4">
        <f>'ALGN(BS_Annual)'!G64</f>
        <v>158.483</v>
      </c>
      <c r="K4">
        <f>'ALGN(BS_Annual)'!H64</f>
        <v>174.995</v>
      </c>
      <c r="L4">
        <f>'ALGN(BS_Annual)'!I64</f>
        <v>198.17699999999999</v>
      </c>
      <c r="M4">
        <f>'ALGN(BS_Annual)'!J64</f>
        <v>235.226</v>
      </c>
      <c r="N4">
        <f>'ALGN(BS_Annual)'!K64</f>
        <v>310.70699999999999</v>
      </c>
    </row>
    <row r="5" spans="1:16" x14ac:dyDescent="0.35">
      <c r="A5" t="s">
        <v>531</v>
      </c>
      <c r="F5">
        <f>'ALGN(BS_Annual)'!C79</f>
        <v>68.641999999999996</v>
      </c>
      <c r="G5">
        <f>'ALGN(BS_Annual)'!D79</f>
        <v>65.632999999999996</v>
      </c>
      <c r="H5">
        <f>'ALGN(BS_Annual)'!E79</f>
        <v>74.567999999999998</v>
      </c>
      <c r="I5">
        <f>'ALGN(BS_Annual)'!F79</f>
        <v>76.39</v>
      </c>
      <c r="J5">
        <f>'ALGN(BS_Annual)'!G79</f>
        <v>78.775999999999996</v>
      </c>
      <c r="K5">
        <f>'ALGN(BS_Annual)'!H79</f>
        <v>80.611000000000004</v>
      </c>
      <c r="L5">
        <f>'ALGN(BS_Annual)'!I79</f>
        <v>80.582999999999998</v>
      </c>
      <c r="M5">
        <f>'ALGN(BS_Annual)'!J79</f>
        <v>80.204999999999998</v>
      </c>
      <c r="N5">
        <f>'ALGN(BS_Annual)'!K79</f>
        <v>79.5</v>
      </c>
    </row>
    <row r="6" spans="1:16" x14ac:dyDescent="0.35">
      <c r="A6" s="178" t="s">
        <v>532</v>
      </c>
      <c r="F6" s="68">
        <v>1144.94856</v>
      </c>
      <c r="G6" s="68">
        <v>574.28875000000005</v>
      </c>
      <c r="H6" s="68">
        <v>1328.8017600000001</v>
      </c>
      <c r="I6" s="68">
        <v>1492.6605999999999</v>
      </c>
      <c r="J6" s="68">
        <v>1868.9606000000001</v>
      </c>
      <c r="K6" s="68">
        <v>2236.95525</v>
      </c>
      <c r="L6" s="68">
        <v>4604.5126200000004</v>
      </c>
      <c r="M6" s="68">
        <v>4484.2615500000002</v>
      </c>
      <c r="N6" s="68">
        <v>5235.0749999999998</v>
      </c>
      <c r="O6" s="33"/>
      <c r="P6" s="33"/>
    </row>
    <row r="7" spans="1:16" x14ac:dyDescent="0.35">
      <c r="A7" t="s">
        <v>533</v>
      </c>
      <c r="F7">
        <f>'ALGN(IS)'!C6</f>
        <v>284.33199999999999</v>
      </c>
      <c r="G7">
        <f>'ALGN(IS)'!D6</f>
        <v>303.976</v>
      </c>
      <c r="H7">
        <f>'ALGN(IS)'!E6</f>
        <v>312.33300000000003</v>
      </c>
      <c r="I7">
        <f>'ALGN(IS)'!F6</f>
        <v>387.12599999999998</v>
      </c>
      <c r="J7">
        <f>'ALGN(IS)'!G6</f>
        <v>479.74099999999999</v>
      </c>
      <c r="K7">
        <f>'ALGN(IS)'!H6</f>
        <v>560.04100000000005</v>
      </c>
      <c r="L7">
        <f>'ALGN(IS)'!I6</f>
        <v>660.20600000000002</v>
      </c>
      <c r="M7">
        <f>'ALGN(IS)'!J6</f>
        <v>761.65300000000002</v>
      </c>
      <c r="N7">
        <f>'ALGN(IS)'!K6</f>
        <v>845.48599999999999</v>
      </c>
    </row>
    <row r="8" spans="1:16" x14ac:dyDescent="0.35">
      <c r="A8" t="s">
        <v>534</v>
      </c>
      <c r="F8">
        <f>'ALGN(BS_Annual)'!C70</f>
        <v>-289.64999999999998</v>
      </c>
      <c r="G8">
        <f>'ALGN(BS_Annual)'!D70</f>
        <v>-221.23</v>
      </c>
      <c r="H8">
        <f>'ALGN(BS_Annual)'!E70</f>
        <v>-252.499</v>
      </c>
      <c r="I8">
        <f>'ALGN(BS_Annual)'!F70</f>
        <v>-178.24600000000001</v>
      </c>
      <c r="J8">
        <f>'ALGN(BS_Annual)'!G70</f>
        <v>-116.51300000000001</v>
      </c>
      <c r="K8">
        <f>'ALGN(BS_Annual)'!H70</f>
        <v>-89.626000000000005</v>
      </c>
      <c r="L8">
        <f>'ALGN(BS_Annual)'!I70</f>
        <v>-95.91</v>
      </c>
      <c r="M8">
        <f>'ALGN(BS_Annual)'!J70</f>
        <v>-30.507000000000001</v>
      </c>
      <c r="N8">
        <f>'ALGN(BS_Annual)'!K70</f>
        <v>27.390999999999998</v>
      </c>
    </row>
    <row r="9" spans="1:16" x14ac:dyDescent="0.35">
      <c r="A9" t="s">
        <v>143</v>
      </c>
      <c r="F9">
        <f>'ALGN(IS)'!C25</f>
        <v>32.058999999999997</v>
      </c>
      <c r="G9">
        <f>'ALGN(IS)'!D25</f>
        <v>21.745000000000001</v>
      </c>
      <c r="H9">
        <f>'ALGN(IS)'!E25</f>
        <v>36.979999999999997</v>
      </c>
      <c r="I9">
        <f>'ALGN(IS)'!F25</f>
        <v>98.617000000000004</v>
      </c>
      <c r="J9">
        <f>'ALGN(IS)'!G25</f>
        <v>101.47199999999999</v>
      </c>
      <c r="K9">
        <f>'ALGN(IS)'!H25</f>
        <v>124.23399999999999</v>
      </c>
      <c r="L9">
        <f>'ALGN(IS)'!I25</f>
        <v>161.22499999999999</v>
      </c>
      <c r="M9">
        <f>'ALGN(IS)'!J25</f>
        <v>193.57599999999999</v>
      </c>
      <c r="N9">
        <f>'ALGN(IS)'!K25</f>
        <v>188.63399999999999</v>
      </c>
    </row>
    <row r="10" spans="1:16" x14ac:dyDescent="0.35">
      <c r="A10" t="s">
        <v>535</v>
      </c>
      <c r="F10">
        <f>'ALGN(CF)'!C8</f>
        <v>13.385</v>
      </c>
      <c r="G10">
        <f>'ALGN(CF)'!D8</f>
        <v>12.791</v>
      </c>
      <c r="H10">
        <f>'ALGN(CF)'!E8</f>
        <v>13.004</v>
      </c>
      <c r="I10">
        <f>'ALGN(CF)'!F8</f>
        <v>14.186</v>
      </c>
      <c r="J10">
        <f>'ALGN(CF)'!G8</f>
        <v>17.477</v>
      </c>
      <c r="K10">
        <f>'ALGN(CF)'!H8</f>
        <v>17.811</v>
      </c>
      <c r="L10">
        <f>'ALGN(CF)'!I8</f>
        <v>16.824999999999999</v>
      </c>
      <c r="M10">
        <f>'ALGN(CF)'!J8</f>
        <v>17.856000000000002</v>
      </c>
      <c r="N10">
        <f>'ALGN(CF)'!K8</f>
        <v>18.004000000000001</v>
      </c>
    </row>
    <row r="11" spans="1:16" x14ac:dyDescent="0.35">
      <c r="A11" t="s">
        <v>139</v>
      </c>
      <c r="F11">
        <f>'ALGN(IS)'!C12</f>
        <v>209.297</v>
      </c>
      <c r="G11">
        <f>'ALGN(IS)'!D12</f>
        <v>225.126</v>
      </c>
      <c r="H11">
        <f>'ALGN(IS)'!E12</f>
        <v>233.49199999999999</v>
      </c>
      <c r="I11">
        <f>'ALGN(IS)'!F12</f>
        <v>303.41699999999997</v>
      </c>
      <c r="J11">
        <f>'ALGN(IS)'!G12</f>
        <v>362.435</v>
      </c>
      <c r="K11">
        <f>'ALGN(IS)'!H12</f>
        <v>417.12299999999999</v>
      </c>
      <c r="L11">
        <f>'ALGN(IS)'!I12</f>
        <v>498.10599999999999</v>
      </c>
      <c r="M11">
        <f>'ALGN(IS)'!J12</f>
        <v>578.44299999999998</v>
      </c>
      <c r="N11">
        <f>'ALGN(IS)'!K12</f>
        <v>640.11</v>
      </c>
    </row>
    <row r="12" spans="1:16" x14ac:dyDescent="0.35">
      <c r="A12" t="s">
        <v>536</v>
      </c>
      <c r="F12">
        <f>'ALGN(IS)'!C55</f>
        <v>35.723999999999997</v>
      </c>
      <c r="G12">
        <f>'ALGN(IS)'!D55</f>
        <v>79.986999999999995</v>
      </c>
      <c r="H12">
        <f>'ALGN(IS)'!E55</f>
        <v>-31.268999999999998</v>
      </c>
      <c r="I12">
        <f>'ALGN(IS)'!F55</f>
        <v>74.253</v>
      </c>
      <c r="J12">
        <f>'ALGN(IS)'!G55</f>
        <v>66.715999999999994</v>
      </c>
      <c r="K12">
        <f>'ALGN(IS)'!H55</f>
        <v>58.691000000000003</v>
      </c>
      <c r="L12">
        <f>'ALGN(IS)'!I55</f>
        <v>64.295000000000002</v>
      </c>
      <c r="M12">
        <f>'ALGN(IS)'!J55</f>
        <v>145.83199999999999</v>
      </c>
      <c r="N12">
        <f>'ALGN(IS)'!K55</f>
        <v>144.02000000000001</v>
      </c>
    </row>
    <row r="13" spans="1:16" x14ac:dyDescent="0.35">
      <c r="A13" t="s">
        <v>537</v>
      </c>
      <c r="F13">
        <f>'ALGN(CF)'!C21</f>
        <v>52.777000000000001</v>
      </c>
      <c r="G13">
        <f>'ALGN(CF)'!D21</f>
        <v>39.746000000000002</v>
      </c>
      <c r="H13">
        <f>'ALGN(CF)'!E21</f>
        <v>74.165000000000006</v>
      </c>
      <c r="I13">
        <f>'ALGN(CF)'!F21</f>
        <v>129.529</v>
      </c>
      <c r="J13">
        <f>'ALGN(CF)'!G21</f>
        <v>130.46899999999999</v>
      </c>
      <c r="K13">
        <f>'ALGN(CF)'!H21</f>
        <v>133.77799999999999</v>
      </c>
      <c r="L13">
        <f>'ALGN(CF)'!I21</f>
        <v>185.976</v>
      </c>
      <c r="M13">
        <f>'ALGN(CF)'!J21</f>
        <v>226.899</v>
      </c>
      <c r="N13">
        <f>'ALGN(CF)'!K21</f>
        <v>237.99700000000001</v>
      </c>
    </row>
    <row r="14" spans="1:16" x14ac:dyDescent="0.35">
      <c r="A14" t="s">
        <v>561</v>
      </c>
      <c r="F14">
        <f t="shared" ref="F14:N14" si="0">F2-F4</f>
        <v>161.154</v>
      </c>
      <c r="G14">
        <f t="shared" si="0"/>
        <v>218.54000000000002</v>
      </c>
      <c r="H14">
        <f t="shared" si="0"/>
        <v>273.036</v>
      </c>
      <c r="I14">
        <f t="shared" si="0"/>
        <v>377.74699999999996</v>
      </c>
      <c r="J14">
        <f t="shared" si="0"/>
        <v>490.78100000000001</v>
      </c>
      <c r="K14">
        <f t="shared" si="0"/>
        <v>581.31700000000001</v>
      </c>
      <c r="L14">
        <f t="shared" si="0"/>
        <v>633.97</v>
      </c>
      <c r="M14">
        <f t="shared" si="0"/>
        <v>752.77099999999996</v>
      </c>
      <c r="N14">
        <f t="shared" si="0"/>
        <v>847.92600000000004</v>
      </c>
    </row>
    <row r="16" spans="1:16" ht="15.5" x14ac:dyDescent="0.35">
      <c r="A16" s="179" t="s">
        <v>538</v>
      </c>
      <c r="B16" s="179"/>
      <c r="C16" s="1">
        <v>2004</v>
      </c>
      <c r="D16" s="1">
        <v>2005</v>
      </c>
      <c r="E16" s="1">
        <v>2006</v>
      </c>
      <c r="F16" s="1">
        <v>2007</v>
      </c>
      <c r="G16" s="1">
        <v>2008</v>
      </c>
      <c r="H16" s="1">
        <v>2009</v>
      </c>
      <c r="I16" s="1">
        <v>2010</v>
      </c>
      <c r="J16" s="1">
        <v>2011</v>
      </c>
      <c r="K16" s="1">
        <v>2012</v>
      </c>
      <c r="L16" s="1">
        <v>2013</v>
      </c>
      <c r="M16" s="1">
        <v>2014</v>
      </c>
      <c r="N16" s="1">
        <v>2015</v>
      </c>
    </row>
    <row r="17" spans="1:15" x14ac:dyDescent="0.35">
      <c r="A17" s="1" t="s">
        <v>539</v>
      </c>
      <c r="F17">
        <f t="shared" ref="F17:N17" si="1">F2</f>
        <v>222.761</v>
      </c>
      <c r="G17">
        <f t="shared" si="1"/>
        <v>279.34100000000001</v>
      </c>
      <c r="H17">
        <f t="shared" si="1"/>
        <v>355.24</v>
      </c>
      <c r="I17">
        <f t="shared" si="1"/>
        <v>476.94299999999998</v>
      </c>
      <c r="J17">
        <f t="shared" si="1"/>
        <v>649.26400000000001</v>
      </c>
      <c r="K17">
        <f t="shared" si="1"/>
        <v>756.31200000000001</v>
      </c>
      <c r="L17">
        <f t="shared" si="1"/>
        <v>832.14700000000005</v>
      </c>
      <c r="M17">
        <f t="shared" si="1"/>
        <v>987.99699999999996</v>
      </c>
      <c r="N17">
        <f t="shared" si="1"/>
        <v>1158.633</v>
      </c>
    </row>
    <row r="18" spans="1:15" x14ac:dyDescent="0.35">
      <c r="A18" s="1" t="s">
        <v>540</v>
      </c>
      <c r="F18">
        <f t="shared" ref="F18:N18" si="2">F14</f>
        <v>161.154</v>
      </c>
      <c r="G18">
        <f t="shared" si="2"/>
        <v>218.54000000000002</v>
      </c>
      <c r="H18">
        <f t="shared" si="2"/>
        <v>273.036</v>
      </c>
      <c r="I18">
        <f t="shared" si="2"/>
        <v>377.74699999999996</v>
      </c>
      <c r="J18">
        <f t="shared" si="2"/>
        <v>490.78100000000001</v>
      </c>
      <c r="K18">
        <f t="shared" si="2"/>
        <v>581.31700000000001</v>
      </c>
      <c r="L18">
        <f t="shared" si="2"/>
        <v>633.97</v>
      </c>
      <c r="M18">
        <f t="shared" si="2"/>
        <v>752.77099999999996</v>
      </c>
      <c r="N18">
        <f t="shared" si="2"/>
        <v>847.92600000000004</v>
      </c>
    </row>
    <row r="19" spans="1:15" x14ac:dyDescent="0.35">
      <c r="A19" s="180" t="s">
        <v>541</v>
      </c>
      <c r="F19" s="80">
        <f t="shared" ref="F19:N19" si="3">F18/F$17</f>
        <v>0.72343902209094046</v>
      </c>
      <c r="G19" s="80">
        <f t="shared" si="3"/>
        <v>0.78234129612194425</v>
      </c>
      <c r="H19" s="80">
        <f t="shared" si="3"/>
        <v>0.76859587884247271</v>
      </c>
      <c r="I19" s="80">
        <f t="shared" si="3"/>
        <v>0.79201707541572053</v>
      </c>
      <c r="J19" s="80">
        <f t="shared" si="3"/>
        <v>0.75590360777742183</v>
      </c>
      <c r="K19" s="80">
        <f t="shared" si="3"/>
        <v>0.76862062217709093</v>
      </c>
      <c r="L19" s="80">
        <f t="shared" si="3"/>
        <v>0.76184856762086506</v>
      </c>
      <c r="M19" s="80">
        <f t="shared" si="3"/>
        <v>0.76191628112231113</v>
      </c>
      <c r="N19" s="80">
        <f t="shared" si="3"/>
        <v>0.73183311713027333</v>
      </c>
      <c r="O19" s="80"/>
    </row>
    <row r="20" spans="1:15" x14ac:dyDescent="0.35">
      <c r="A20" s="1" t="s">
        <v>542</v>
      </c>
      <c r="F20">
        <f t="shared" ref="F20:N20" si="4">F8</f>
        <v>-289.64999999999998</v>
      </c>
      <c r="G20">
        <f t="shared" si="4"/>
        <v>-221.23</v>
      </c>
      <c r="H20">
        <f t="shared" si="4"/>
        <v>-252.499</v>
      </c>
      <c r="I20">
        <f t="shared" si="4"/>
        <v>-178.24600000000001</v>
      </c>
      <c r="J20">
        <f t="shared" si="4"/>
        <v>-116.51300000000001</v>
      </c>
      <c r="K20">
        <f t="shared" si="4"/>
        <v>-89.626000000000005</v>
      </c>
      <c r="L20">
        <f t="shared" si="4"/>
        <v>-95.91</v>
      </c>
      <c r="M20">
        <f t="shared" si="4"/>
        <v>-30.507000000000001</v>
      </c>
      <c r="N20">
        <f t="shared" si="4"/>
        <v>27.390999999999998</v>
      </c>
    </row>
    <row r="21" spans="1:15" x14ac:dyDescent="0.35">
      <c r="A21" s="180" t="s">
        <v>543</v>
      </c>
      <c r="F21" s="80">
        <f t="shared" ref="F21:N21" si="5">F20/F$17</f>
        <v>-1.3002724893495718</v>
      </c>
      <c r="G21" s="80">
        <f t="shared" si="5"/>
        <v>-0.79197110341840249</v>
      </c>
      <c r="H21" s="80">
        <f t="shared" si="5"/>
        <v>-0.71078425852944482</v>
      </c>
      <c r="I21" s="80">
        <f t="shared" si="5"/>
        <v>-0.37372600080093432</v>
      </c>
      <c r="J21" s="80">
        <f t="shared" si="5"/>
        <v>-0.17945396633726804</v>
      </c>
      <c r="K21" s="80">
        <f t="shared" si="5"/>
        <v>-0.11850400363870996</v>
      </c>
      <c r="L21" s="80">
        <f t="shared" si="5"/>
        <v>-0.11525607855342865</v>
      </c>
      <c r="M21" s="80">
        <f t="shared" si="5"/>
        <v>-3.0877624122340457E-2</v>
      </c>
      <c r="N21" s="80">
        <f t="shared" si="5"/>
        <v>2.3640790483267778E-2</v>
      </c>
      <c r="O21" s="80"/>
    </row>
    <row r="22" spans="1:15" x14ac:dyDescent="0.35">
      <c r="A22" s="1" t="s">
        <v>143</v>
      </c>
      <c r="F22">
        <f t="shared" ref="F22:N22" si="6">F9</f>
        <v>32.058999999999997</v>
      </c>
      <c r="G22">
        <f t="shared" si="6"/>
        <v>21.745000000000001</v>
      </c>
      <c r="H22">
        <f t="shared" si="6"/>
        <v>36.979999999999997</v>
      </c>
      <c r="I22">
        <f t="shared" si="6"/>
        <v>98.617000000000004</v>
      </c>
      <c r="J22">
        <f t="shared" si="6"/>
        <v>101.47199999999999</v>
      </c>
      <c r="K22">
        <f t="shared" si="6"/>
        <v>124.23399999999999</v>
      </c>
      <c r="L22">
        <f t="shared" si="6"/>
        <v>161.22499999999999</v>
      </c>
      <c r="M22">
        <f t="shared" si="6"/>
        <v>193.57599999999999</v>
      </c>
      <c r="N22">
        <f t="shared" si="6"/>
        <v>188.63399999999999</v>
      </c>
    </row>
    <row r="23" spans="1:15" x14ac:dyDescent="0.35">
      <c r="A23" s="180" t="s">
        <v>544</v>
      </c>
      <c r="F23" s="80">
        <f t="shared" ref="F23:N23" si="7">F22/F$17</f>
        <v>0.14391657426569282</v>
      </c>
      <c r="G23" s="80">
        <f t="shared" si="7"/>
        <v>7.7843925524717097E-2</v>
      </c>
      <c r="H23" s="80">
        <f t="shared" si="7"/>
        <v>0.10409863754081747</v>
      </c>
      <c r="I23" s="80">
        <f t="shared" si="7"/>
        <v>0.20676894303931498</v>
      </c>
      <c r="J23" s="80">
        <f t="shared" si="7"/>
        <v>0.15628773503536311</v>
      </c>
      <c r="K23" s="80">
        <f t="shared" si="7"/>
        <v>0.16426289679391573</v>
      </c>
      <c r="L23" s="80">
        <f t="shared" si="7"/>
        <v>0.19374581654443263</v>
      </c>
      <c r="M23" s="80">
        <f t="shared" si="7"/>
        <v>0.19592772042830089</v>
      </c>
      <c r="N23" s="80">
        <f t="shared" si="7"/>
        <v>0.16280737731447317</v>
      </c>
      <c r="O23" s="80"/>
    </row>
    <row r="24" spans="1:15" x14ac:dyDescent="0.35">
      <c r="A24" s="1" t="s">
        <v>139</v>
      </c>
      <c r="F24">
        <f t="shared" ref="F24:N24" si="8">F11</f>
        <v>209.297</v>
      </c>
      <c r="G24">
        <f t="shared" si="8"/>
        <v>225.126</v>
      </c>
      <c r="H24">
        <f t="shared" si="8"/>
        <v>233.49199999999999</v>
      </c>
      <c r="I24">
        <f t="shared" si="8"/>
        <v>303.41699999999997</v>
      </c>
      <c r="J24">
        <f t="shared" si="8"/>
        <v>362.435</v>
      </c>
      <c r="K24">
        <f t="shared" si="8"/>
        <v>417.12299999999999</v>
      </c>
      <c r="L24">
        <f t="shared" si="8"/>
        <v>498.10599999999999</v>
      </c>
      <c r="M24">
        <f t="shared" si="8"/>
        <v>578.44299999999998</v>
      </c>
      <c r="N24">
        <f t="shared" si="8"/>
        <v>640.11</v>
      </c>
    </row>
    <row r="25" spans="1:15" x14ac:dyDescent="0.35">
      <c r="A25" s="181" t="s">
        <v>545</v>
      </c>
      <c r="F25" s="80">
        <f t="shared" ref="F25:N25" si="9">F24/F$17</f>
        <v>0.93955854031899655</v>
      </c>
      <c r="G25" s="80">
        <f t="shared" si="9"/>
        <v>0.8059182146552063</v>
      </c>
      <c r="H25" s="80">
        <f t="shared" si="9"/>
        <v>0.65727958563224853</v>
      </c>
      <c r="I25" s="80">
        <f t="shared" si="9"/>
        <v>0.63617035998012339</v>
      </c>
      <c r="J25" s="80">
        <f t="shared" si="9"/>
        <v>0.55822438946252984</v>
      </c>
      <c r="K25" s="80">
        <f t="shared" si="9"/>
        <v>0.55152238758607552</v>
      </c>
      <c r="L25" s="80">
        <f t="shared" si="9"/>
        <v>0.59857933754492887</v>
      </c>
      <c r="M25" s="80">
        <f t="shared" si="9"/>
        <v>0.58547040122591465</v>
      </c>
      <c r="N25" s="80">
        <f t="shared" si="9"/>
        <v>0.55247002286314995</v>
      </c>
      <c r="O25" s="80"/>
    </row>
    <row r="26" spans="1:15" x14ac:dyDescent="0.35">
      <c r="A26" s="1" t="s">
        <v>188</v>
      </c>
      <c r="F26">
        <f t="shared" ref="F26:N26" si="10">F5</f>
        <v>68.641999999999996</v>
      </c>
      <c r="G26">
        <f t="shared" si="10"/>
        <v>65.632999999999996</v>
      </c>
      <c r="H26">
        <f t="shared" si="10"/>
        <v>74.567999999999998</v>
      </c>
      <c r="I26">
        <f t="shared" si="10"/>
        <v>76.39</v>
      </c>
      <c r="J26">
        <f t="shared" si="10"/>
        <v>78.775999999999996</v>
      </c>
      <c r="K26">
        <f t="shared" si="10"/>
        <v>80.611000000000004</v>
      </c>
      <c r="L26">
        <f t="shared" si="10"/>
        <v>80.582999999999998</v>
      </c>
      <c r="M26">
        <f t="shared" si="10"/>
        <v>80.204999999999998</v>
      </c>
      <c r="N26">
        <f t="shared" si="10"/>
        <v>79.5</v>
      </c>
    </row>
    <row r="27" spans="1:15" x14ac:dyDescent="0.35">
      <c r="A27" s="1" t="s">
        <v>546</v>
      </c>
      <c r="F27" s="33">
        <f t="shared" ref="F27:N27" si="11">F6</f>
        <v>1144.94856</v>
      </c>
      <c r="G27" s="33">
        <f t="shared" si="11"/>
        <v>574.28875000000005</v>
      </c>
      <c r="H27" s="33">
        <f t="shared" si="11"/>
        <v>1328.8017600000001</v>
      </c>
      <c r="I27" s="33">
        <f t="shared" si="11"/>
        <v>1492.6605999999999</v>
      </c>
      <c r="J27" s="33">
        <f t="shared" si="11"/>
        <v>1868.9606000000001</v>
      </c>
      <c r="K27" s="33">
        <f t="shared" si="11"/>
        <v>2236.95525</v>
      </c>
      <c r="L27" s="33">
        <f t="shared" si="11"/>
        <v>4604.5126200000004</v>
      </c>
      <c r="M27" s="33">
        <f t="shared" si="11"/>
        <v>4484.2615500000002</v>
      </c>
      <c r="N27" s="33">
        <f t="shared" si="11"/>
        <v>5235.0749999999998</v>
      </c>
      <c r="O27" s="33"/>
    </row>
    <row r="28" spans="1:15" x14ac:dyDescent="0.35">
      <c r="A28" s="1" t="s">
        <v>547</v>
      </c>
      <c r="F28">
        <f t="shared" ref="F28:N28" si="12">F4</f>
        <v>61.606999999999999</v>
      </c>
      <c r="G28">
        <f t="shared" si="12"/>
        <v>60.801000000000002</v>
      </c>
      <c r="H28">
        <f t="shared" si="12"/>
        <v>82.203999999999994</v>
      </c>
      <c r="I28">
        <f t="shared" si="12"/>
        <v>99.195999999999998</v>
      </c>
      <c r="J28">
        <f t="shared" si="12"/>
        <v>158.483</v>
      </c>
      <c r="K28">
        <f t="shared" si="12"/>
        <v>174.995</v>
      </c>
      <c r="L28">
        <f t="shared" si="12"/>
        <v>198.17699999999999</v>
      </c>
      <c r="M28">
        <f t="shared" si="12"/>
        <v>235.226</v>
      </c>
      <c r="N28">
        <f t="shared" si="12"/>
        <v>310.70699999999999</v>
      </c>
    </row>
    <row r="29" spans="1:15" x14ac:dyDescent="0.35">
      <c r="A29" s="180" t="s">
        <v>548</v>
      </c>
      <c r="F29" s="33">
        <f>F27/F28</f>
        <v>18.58471537325304</v>
      </c>
      <c r="G29" s="33">
        <f t="shared" ref="G29:N29" si="13">G27/G28</f>
        <v>9.4453832996167826</v>
      </c>
      <c r="H29" s="33">
        <f t="shared" si="13"/>
        <v>16.164684930173717</v>
      </c>
      <c r="I29" s="33">
        <f t="shared" si="13"/>
        <v>15.04758861244405</v>
      </c>
      <c r="J29" s="33">
        <f t="shared" si="13"/>
        <v>11.792814371257485</v>
      </c>
      <c r="K29" s="33">
        <f t="shared" si="13"/>
        <v>12.782966656190176</v>
      </c>
      <c r="L29" s="33">
        <f t="shared" si="13"/>
        <v>23.234344146898987</v>
      </c>
      <c r="M29" s="33">
        <f t="shared" si="13"/>
        <v>19.063630508532221</v>
      </c>
      <c r="N29" s="33">
        <f t="shared" si="13"/>
        <v>16.84891231932335</v>
      </c>
      <c r="O29" s="33"/>
    </row>
    <row r="30" spans="1:15" x14ac:dyDescent="0.35">
      <c r="A30" s="1" t="s">
        <v>549</v>
      </c>
      <c r="F30">
        <f t="shared" ref="F30:N30" si="14">F7</f>
        <v>284.33199999999999</v>
      </c>
      <c r="G30">
        <f t="shared" si="14"/>
        <v>303.976</v>
      </c>
      <c r="H30">
        <f t="shared" si="14"/>
        <v>312.33300000000003</v>
      </c>
      <c r="I30">
        <f t="shared" si="14"/>
        <v>387.12599999999998</v>
      </c>
      <c r="J30">
        <f t="shared" si="14"/>
        <v>479.74099999999999</v>
      </c>
      <c r="K30">
        <f t="shared" si="14"/>
        <v>560.04100000000005</v>
      </c>
      <c r="L30">
        <f t="shared" si="14"/>
        <v>660.20600000000002</v>
      </c>
      <c r="M30">
        <f t="shared" si="14"/>
        <v>761.65300000000002</v>
      </c>
      <c r="N30">
        <f t="shared" si="14"/>
        <v>845.48599999999999</v>
      </c>
    </row>
    <row r="31" spans="1:15" x14ac:dyDescent="0.35">
      <c r="A31" s="180" t="s">
        <v>550</v>
      </c>
      <c r="F31" s="80">
        <f t="shared" ref="F31:N31" si="15">F30/F$17</f>
        <v>1.2763993697280942</v>
      </c>
      <c r="G31" s="80">
        <f t="shared" si="15"/>
        <v>1.0881897036238861</v>
      </c>
      <c r="H31" s="80">
        <f t="shared" si="15"/>
        <v>0.87921686746987959</v>
      </c>
      <c r="I31" s="80">
        <f t="shared" si="15"/>
        <v>0.81168189909486033</v>
      </c>
      <c r="J31" s="80">
        <f t="shared" si="15"/>
        <v>0.7388997387811429</v>
      </c>
      <c r="K31" s="80">
        <f t="shared" si="15"/>
        <v>0.740489374755392</v>
      </c>
      <c r="L31" s="80">
        <f t="shared" si="15"/>
        <v>0.79337665100036414</v>
      </c>
      <c r="M31" s="80">
        <f t="shared" si="15"/>
        <v>0.77090618696210622</v>
      </c>
      <c r="N31" s="80">
        <f t="shared" si="15"/>
        <v>0.7297271871248272</v>
      </c>
      <c r="O31" s="80"/>
    </row>
    <row r="33" spans="1:15" x14ac:dyDescent="0.35">
      <c r="A33" t="s">
        <v>551</v>
      </c>
      <c r="E33">
        <v>1.2</v>
      </c>
      <c r="F33">
        <f>F19*$E$33</f>
        <v>0.86812682650912854</v>
      </c>
      <c r="G33">
        <f t="shared" ref="G33:N33" si="16">G19*$E$33</f>
        <v>0.93880955534633304</v>
      </c>
      <c r="H33">
        <f t="shared" si="16"/>
        <v>0.92231505461096719</v>
      </c>
      <c r="I33">
        <f t="shared" si="16"/>
        <v>0.95042049049886457</v>
      </c>
      <c r="J33">
        <f t="shared" si="16"/>
        <v>0.90708432933290617</v>
      </c>
      <c r="K33">
        <f t="shared" si="16"/>
        <v>0.92234474661250909</v>
      </c>
      <c r="L33">
        <f t="shared" si="16"/>
        <v>0.914218281145038</v>
      </c>
      <c r="M33">
        <f t="shared" si="16"/>
        <v>0.91429953734677327</v>
      </c>
      <c r="N33">
        <f t="shared" si="16"/>
        <v>0.87819974055632799</v>
      </c>
    </row>
    <row r="34" spans="1:15" x14ac:dyDescent="0.35">
      <c r="A34" t="s">
        <v>552</v>
      </c>
      <c r="E34">
        <v>1.4</v>
      </c>
      <c r="F34">
        <f>$E$34*F21</f>
        <v>-1.8203814850894005</v>
      </c>
      <c r="G34">
        <f t="shared" ref="G34:N34" si="17">$E$34*G21</f>
        <v>-1.1087595447857634</v>
      </c>
      <c r="H34">
        <f t="shared" si="17"/>
        <v>-0.99509796194122269</v>
      </c>
      <c r="I34">
        <f t="shared" si="17"/>
        <v>-0.52321640112130807</v>
      </c>
      <c r="J34">
        <f t="shared" si="17"/>
        <v>-0.25123555287217525</v>
      </c>
      <c r="K34">
        <f t="shared" si="17"/>
        <v>-0.16590560509419394</v>
      </c>
      <c r="L34">
        <f t="shared" si="17"/>
        <v>-0.16135850997480009</v>
      </c>
      <c r="M34">
        <f t="shared" si="17"/>
        <v>-4.3228673771276635E-2</v>
      </c>
      <c r="N34">
        <f t="shared" si="17"/>
        <v>3.3097106676574888E-2</v>
      </c>
    </row>
    <row r="35" spans="1:15" x14ac:dyDescent="0.35">
      <c r="A35" t="s">
        <v>553</v>
      </c>
      <c r="E35">
        <v>3.3</v>
      </c>
      <c r="F35">
        <f>$E$35*F23</f>
        <v>0.47492469507678631</v>
      </c>
      <c r="G35">
        <f t="shared" ref="G35:N35" si="18">$E$35*G23</f>
        <v>0.25688495423156643</v>
      </c>
      <c r="H35">
        <f t="shared" si="18"/>
        <v>0.3435255038846976</v>
      </c>
      <c r="I35">
        <f t="shared" si="18"/>
        <v>0.68233751202973936</v>
      </c>
      <c r="J35">
        <f t="shared" si="18"/>
        <v>0.51574952561669829</v>
      </c>
      <c r="K35">
        <f t="shared" si="18"/>
        <v>0.54206755941992191</v>
      </c>
      <c r="L35">
        <f t="shared" si="18"/>
        <v>0.63936119459662766</v>
      </c>
      <c r="M35">
        <f t="shared" si="18"/>
        <v>0.64656147741339287</v>
      </c>
      <c r="N35">
        <f t="shared" si="18"/>
        <v>0.53726434513776145</v>
      </c>
    </row>
    <row r="36" spans="1:15" x14ac:dyDescent="0.35">
      <c r="A36" t="s">
        <v>554</v>
      </c>
      <c r="E36">
        <v>0.6</v>
      </c>
      <c r="F36" s="33">
        <f>$E$36*F29</f>
        <v>11.150829223951824</v>
      </c>
      <c r="G36" s="33">
        <f t="shared" ref="G36:N36" si="19">$E$36*G29</f>
        <v>5.6672299797700694</v>
      </c>
      <c r="H36" s="33">
        <f t="shared" si="19"/>
        <v>9.6988109581042306</v>
      </c>
      <c r="I36" s="33">
        <f t="shared" si="19"/>
        <v>9.0285531674664306</v>
      </c>
      <c r="J36" s="33">
        <f t="shared" si="19"/>
        <v>7.0756886227544911</v>
      </c>
      <c r="K36" s="33">
        <f t="shared" si="19"/>
        <v>7.6697799937141049</v>
      </c>
      <c r="L36" s="33">
        <f t="shared" si="19"/>
        <v>13.940606488139393</v>
      </c>
      <c r="M36" s="33">
        <f t="shared" si="19"/>
        <v>11.438178305119331</v>
      </c>
      <c r="N36" s="33">
        <f t="shared" si="19"/>
        <v>10.10934739159401</v>
      </c>
    </row>
    <row r="37" spans="1:15" x14ac:dyDescent="0.35">
      <c r="A37" t="s">
        <v>555</v>
      </c>
      <c r="E37">
        <v>0.99</v>
      </c>
      <c r="F37">
        <f>$E$37*F31</f>
        <v>1.2636353760308132</v>
      </c>
      <c r="G37">
        <f t="shared" ref="G37:N37" si="20">$E$37*G31</f>
        <v>1.0773078065876474</v>
      </c>
      <c r="H37">
        <f t="shared" si="20"/>
        <v>0.87042469879518081</v>
      </c>
      <c r="I37">
        <f t="shared" si="20"/>
        <v>0.8035650801039117</v>
      </c>
      <c r="J37">
        <f t="shared" si="20"/>
        <v>0.7315107413933315</v>
      </c>
      <c r="K37">
        <f t="shared" si="20"/>
        <v>0.73308448100783807</v>
      </c>
      <c r="L37">
        <f t="shared" si="20"/>
        <v>0.78544288449036048</v>
      </c>
      <c r="M37">
        <f t="shared" si="20"/>
        <v>0.76319712509248516</v>
      </c>
      <c r="N37">
        <f t="shared" si="20"/>
        <v>0.72242991525357891</v>
      </c>
    </row>
    <row r="39" spans="1:15" ht="23.5" x14ac:dyDescent="0.55000000000000004">
      <c r="A39" s="185" t="s">
        <v>556</v>
      </c>
      <c r="B39" s="185"/>
      <c r="C39" s="185"/>
      <c r="D39" s="185"/>
      <c r="E39" s="185"/>
      <c r="F39" s="190">
        <f>SUM(F33:F37)</f>
        <v>11.937134636479151</v>
      </c>
      <c r="G39" s="190">
        <f t="shared" ref="G39:N39" si="21">SUM(G33:G37)</f>
        <v>6.8314727511498532</v>
      </c>
      <c r="H39" s="190">
        <f t="shared" si="21"/>
        <v>10.839978253453854</v>
      </c>
      <c r="I39" s="190">
        <f t="shared" si="21"/>
        <v>10.941659848977638</v>
      </c>
      <c r="J39" s="190">
        <f t="shared" si="21"/>
        <v>8.9787976662252511</v>
      </c>
      <c r="K39" s="190">
        <f t="shared" si="21"/>
        <v>9.7013711756601797</v>
      </c>
      <c r="L39" s="190">
        <f t="shared" si="21"/>
        <v>16.11827033839662</v>
      </c>
      <c r="M39" s="190">
        <f t="shared" si="21"/>
        <v>13.719007771200706</v>
      </c>
      <c r="N39" s="190">
        <f t="shared" si="21"/>
        <v>12.280338499218255</v>
      </c>
      <c r="O39" s="185"/>
    </row>
    <row r="40" spans="1:15" x14ac:dyDescent="0.35">
      <c r="A40" t="s">
        <v>557</v>
      </c>
    </row>
    <row r="41" spans="1:15" x14ac:dyDescent="0.35">
      <c r="A41" t="s">
        <v>558</v>
      </c>
    </row>
    <row r="42" spans="1:15" x14ac:dyDescent="0.35">
      <c r="A42" t="s">
        <v>559</v>
      </c>
    </row>
    <row r="44" spans="1:15" x14ac:dyDescent="0.35">
      <c r="A44" s="182" t="s">
        <v>560</v>
      </c>
      <c r="B44" s="182">
        <v>2003</v>
      </c>
      <c r="C44" s="1">
        <v>2004</v>
      </c>
      <c r="D44" s="1">
        <v>2005</v>
      </c>
      <c r="E44" s="1">
        <v>2006</v>
      </c>
      <c r="F44" s="1">
        <v>2007</v>
      </c>
      <c r="G44" s="1">
        <v>2008</v>
      </c>
      <c r="H44" s="1">
        <v>2009</v>
      </c>
      <c r="I44" s="1">
        <v>2010</v>
      </c>
      <c r="J44" s="1">
        <v>2011</v>
      </c>
      <c r="K44" s="1">
        <v>2012</v>
      </c>
      <c r="L44" s="1">
        <v>2013</v>
      </c>
      <c r="M44" s="1">
        <v>2014</v>
      </c>
      <c r="N44" s="1">
        <v>2015</v>
      </c>
      <c r="O44" s="1"/>
    </row>
    <row r="46" spans="1:15" x14ac:dyDescent="0.35">
      <c r="A46" t="s">
        <v>528</v>
      </c>
      <c r="F46">
        <f>F2</f>
        <v>222.761</v>
      </c>
      <c r="G46">
        <f t="shared" ref="G46:N46" si="22">G2</f>
        <v>279.34100000000001</v>
      </c>
      <c r="H46">
        <f t="shared" si="22"/>
        <v>355.24</v>
      </c>
      <c r="I46">
        <f t="shared" si="22"/>
        <v>476.94299999999998</v>
      </c>
      <c r="J46">
        <f t="shared" si="22"/>
        <v>649.26400000000001</v>
      </c>
      <c r="K46">
        <f t="shared" si="22"/>
        <v>756.31200000000001</v>
      </c>
      <c r="L46">
        <f t="shared" si="22"/>
        <v>832.14700000000005</v>
      </c>
      <c r="M46">
        <f t="shared" si="22"/>
        <v>987.99699999999996</v>
      </c>
      <c r="N46">
        <f t="shared" si="22"/>
        <v>1158.633</v>
      </c>
    </row>
    <row r="47" spans="1:15" x14ac:dyDescent="0.35">
      <c r="A47" t="s">
        <v>530</v>
      </c>
      <c r="F47">
        <f>F4</f>
        <v>61.606999999999999</v>
      </c>
      <c r="G47">
        <f t="shared" ref="G47:N47" si="23">G4</f>
        <v>60.801000000000002</v>
      </c>
      <c r="H47">
        <f t="shared" si="23"/>
        <v>82.203999999999994</v>
      </c>
      <c r="I47">
        <f t="shared" si="23"/>
        <v>99.195999999999998</v>
      </c>
      <c r="J47">
        <f t="shared" si="23"/>
        <v>158.483</v>
      </c>
      <c r="K47">
        <f t="shared" si="23"/>
        <v>174.995</v>
      </c>
      <c r="L47">
        <f t="shared" si="23"/>
        <v>198.17699999999999</v>
      </c>
      <c r="M47">
        <f t="shared" si="23"/>
        <v>235.226</v>
      </c>
      <c r="N47">
        <f t="shared" si="23"/>
        <v>310.70699999999999</v>
      </c>
    </row>
    <row r="48" spans="1:15" x14ac:dyDescent="0.35">
      <c r="A48" t="s">
        <v>561</v>
      </c>
      <c r="F48">
        <f t="shared" ref="F48:N48" si="24">F14</f>
        <v>161.154</v>
      </c>
      <c r="G48">
        <f t="shared" si="24"/>
        <v>218.54000000000002</v>
      </c>
      <c r="H48">
        <f t="shared" si="24"/>
        <v>273.036</v>
      </c>
      <c r="I48">
        <f t="shared" si="24"/>
        <v>377.74699999999996</v>
      </c>
      <c r="J48">
        <f t="shared" si="24"/>
        <v>490.78100000000001</v>
      </c>
      <c r="K48">
        <f t="shared" si="24"/>
        <v>581.31700000000001</v>
      </c>
      <c r="L48">
        <f t="shared" si="24"/>
        <v>633.97</v>
      </c>
      <c r="M48">
        <f t="shared" si="24"/>
        <v>752.77099999999996</v>
      </c>
      <c r="N48">
        <f t="shared" si="24"/>
        <v>847.92600000000004</v>
      </c>
    </row>
    <row r="49" spans="1:14" x14ac:dyDescent="0.35">
      <c r="A49" t="s">
        <v>529</v>
      </c>
      <c r="F49">
        <f>F3</f>
        <v>61.459000000000003</v>
      </c>
      <c r="G49">
        <f t="shared" ref="G49:N49" si="25">G3</f>
        <v>60.572000000000003</v>
      </c>
      <c r="H49">
        <f t="shared" si="25"/>
        <v>81.242999999999995</v>
      </c>
      <c r="I49">
        <f t="shared" si="25"/>
        <v>92.974000000000004</v>
      </c>
      <c r="J49">
        <f t="shared" si="25"/>
        <v>148.11699999999999</v>
      </c>
      <c r="K49">
        <f t="shared" si="25"/>
        <v>155.77099999999999</v>
      </c>
      <c r="L49">
        <f t="shared" si="25"/>
        <v>175.33799999999999</v>
      </c>
      <c r="M49">
        <f t="shared" si="25"/>
        <v>201.81100000000001</v>
      </c>
      <c r="N49">
        <f t="shared" si="25"/>
        <v>271.67200000000003</v>
      </c>
    </row>
    <row r="50" spans="1:14" x14ac:dyDescent="0.35">
      <c r="A50" t="s">
        <v>527</v>
      </c>
      <c r="F50">
        <f>F1</f>
        <v>184.517</v>
      </c>
      <c r="G50">
        <f t="shared" ref="G50:N50" si="26">G1</f>
        <v>177.90700000000001</v>
      </c>
      <c r="H50">
        <f t="shared" si="26"/>
        <v>261.29899999999998</v>
      </c>
      <c r="I50">
        <f t="shared" si="26"/>
        <v>388.61099999999999</v>
      </c>
      <c r="J50">
        <f t="shared" si="26"/>
        <v>384.81599999999997</v>
      </c>
      <c r="K50">
        <f t="shared" si="26"/>
        <v>485.79300000000001</v>
      </c>
      <c r="L50">
        <f t="shared" si="26"/>
        <v>544.67600000000004</v>
      </c>
      <c r="M50">
        <f t="shared" si="26"/>
        <v>657.16</v>
      </c>
      <c r="N50">
        <f t="shared" si="26"/>
        <v>732.01</v>
      </c>
    </row>
    <row r="51" spans="1:14" x14ac:dyDescent="0.35">
      <c r="A51" t="s">
        <v>562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 t="s">
        <v>536</v>
      </c>
      <c r="F52">
        <f>F12</f>
        <v>35.723999999999997</v>
      </c>
      <c r="G52">
        <f t="shared" ref="G52:N52" si="27">G12</f>
        <v>79.986999999999995</v>
      </c>
      <c r="H52">
        <f t="shared" si="27"/>
        <v>-31.268999999999998</v>
      </c>
      <c r="I52">
        <f t="shared" si="27"/>
        <v>74.253</v>
      </c>
      <c r="J52">
        <f t="shared" si="27"/>
        <v>66.715999999999994</v>
      </c>
      <c r="K52">
        <f t="shared" si="27"/>
        <v>58.691000000000003</v>
      </c>
      <c r="L52">
        <f t="shared" si="27"/>
        <v>64.295000000000002</v>
      </c>
      <c r="M52">
        <f t="shared" si="27"/>
        <v>145.83199999999999</v>
      </c>
      <c r="N52">
        <f t="shared" si="27"/>
        <v>144.02000000000001</v>
      </c>
    </row>
    <row r="53" spans="1:14" x14ac:dyDescent="0.35">
      <c r="A53" t="s">
        <v>537</v>
      </c>
      <c r="F53">
        <f>F13</f>
        <v>52.777000000000001</v>
      </c>
      <c r="G53">
        <f t="shared" ref="G53:N53" si="28">G13</f>
        <v>39.746000000000002</v>
      </c>
      <c r="H53">
        <f t="shared" si="28"/>
        <v>74.165000000000006</v>
      </c>
      <c r="I53">
        <f t="shared" si="28"/>
        <v>129.529</v>
      </c>
      <c r="J53">
        <f t="shared" si="28"/>
        <v>130.46899999999999</v>
      </c>
      <c r="K53">
        <f t="shared" si="28"/>
        <v>133.77799999999999</v>
      </c>
      <c r="L53">
        <f t="shared" si="28"/>
        <v>185.976</v>
      </c>
      <c r="M53">
        <f t="shared" si="28"/>
        <v>226.899</v>
      </c>
      <c r="N53">
        <f t="shared" si="28"/>
        <v>237.99700000000001</v>
      </c>
    </row>
    <row r="54" spans="1:14" x14ac:dyDescent="0.35">
      <c r="A54" t="s">
        <v>563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 s="183" t="s">
        <v>564</v>
      </c>
      <c r="F55">
        <f>'FRED Graph'!I20</f>
        <v>360</v>
      </c>
      <c r="G55">
        <f>'FRED Graph'!J20</f>
        <v>380.5</v>
      </c>
      <c r="H55">
        <f>'FRED Graph'!K20</f>
        <v>378.8</v>
      </c>
      <c r="I55">
        <f>'FRED Graph'!L20</f>
        <v>392.1</v>
      </c>
      <c r="J55">
        <f>'FRED Graph'!M20</f>
        <v>404.1</v>
      </c>
      <c r="K55">
        <f>'FRED Graph'!N20</f>
        <v>413.5</v>
      </c>
      <c r="L55">
        <f>'FRED Graph'!O20</f>
        <v>427.7</v>
      </c>
      <c r="M55">
        <f>'FRED Graph'!P20</f>
        <v>439.6</v>
      </c>
      <c r="N55">
        <f>'FRED Graph'!Q20</f>
        <v>459.3</v>
      </c>
    </row>
    <row r="57" spans="1:14" x14ac:dyDescent="0.35">
      <c r="A57" t="s">
        <v>565</v>
      </c>
    </row>
    <row r="59" spans="1:14" x14ac:dyDescent="0.35">
      <c r="A59">
        <v>-1.32</v>
      </c>
      <c r="F59">
        <f t="shared" ref="F59:N59" si="29">$A59</f>
        <v>-1.32</v>
      </c>
      <c r="G59">
        <f t="shared" si="29"/>
        <v>-1.32</v>
      </c>
      <c r="H59">
        <f t="shared" si="29"/>
        <v>-1.32</v>
      </c>
      <c r="I59">
        <f t="shared" si="29"/>
        <v>-1.32</v>
      </c>
      <c r="J59">
        <f t="shared" si="29"/>
        <v>-1.32</v>
      </c>
      <c r="K59">
        <f t="shared" si="29"/>
        <v>-1.32</v>
      </c>
      <c r="L59">
        <f t="shared" si="29"/>
        <v>-1.32</v>
      </c>
      <c r="M59">
        <f t="shared" si="29"/>
        <v>-1.32</v>
      </c>
      <c r="N59">
        <f t="shared" si="29"/>
        <v>-1.32</v>
      </c>
    </row>
    <row r="60" spans="1:14" x14ac:dyDescent="0.35">
      <c r="A60" t="s">
        <v>551</v>
      </c>
      <c r="F60">
        <f t="shared" ref="F60:N60" si="30">-0.407*LOG(F46/F55)</f>
        <v>8.4844580172356743E-2</v>
      </c>
      <c r="G60">
        <f t="shared" si="30"/>
        <v>5.4627530876118956E-2</v>
      </c>
      <c r="H60">
        <f t="shared" si="30"/>
        <v>1.1350460339389884E-2</v>
      </c>
      <c r="I60">
        <f t="shared" si="30"/>
        <v>-3.462334218330812E-2</v>
      </c>
      <c r="J60">
        <f t="shared" si="30"/>
        <v>-8.3814516347510193E-2</v>
      </c>
      <c r="K60">
        <f t="shared" si="30"/>
        <v>-0.10672576925362136</v>
      </c>
      <c r="L60">
        <f t="shared" si="30"/>
        <v>-0.11764774624077753</v>
      </c>
      <c r="M60">
        <f t="shared" si="30"/>
        <v>-0.14314106244537642</v>
      </c>
      <c r="N60">
        <f t="shared" si="30"/>
        <v>-0.16355272550991967</v>
      </c>
    </row>
    <row r="61" spans="1:14" x14ac:dyDescent="0.35">
      <c r="A61" t="s">
        <v>552</v>
      </c>
      <c r="F61">
        <f t="shared" ref="F61:N61" si="31">6.03*(F47/F46)</f>
        <v>1.6676626967916288</v>
      </c>
      <c r="G61">
        <f t="shared" si="31"/>
        <v>1.3124819843846769</v>
      </c>
      <c r="H61">
        <f t="shared" si="31"/>
        <v>1.3953668505798895</v>
      </c>
      <c r="I61">
        <f t="shared" si="31"/>
        <v>1.2541370352432053</v>
      </c>
      <c r="J61">
        <f t="shared" si="31"/>
        <v>1.4719012451021465</v>
      </c>
      <c r="K61">
        <f t="shared" si="31"/>
        <v>1.3952176482721417</v>
      </c>
      <c r="L61">
        <f t="shared" si="31"/>
        <v>1.4360531372461836</v>
      </c>
      <c r="M61">
        <f t="shared" si="31"/>
        <v>1.4356448248324643</v>
      </c>
      <c r="N61">
        <f t="shared" si="31"/>
        <v>1.6170463037044516</v>
      </c>
    </row>
    <row r="62" spans="1:14" x14ac:dyDescent="0.35">
      <c r="A62" t="s">
        <v>553</v>
      </c>
      <c r="F62">
        <f t="shared" ref="F62:N62" si="32">-1.43*(F48/F46)</f>
        <v>-1.0345178015900449</v>
      </c>
      <c r="G62">
        <f t="shared" si="32"/>
        <v>-1.1187480534543803</v>
      </c>
      <c r="H62">
        <f t="shared" si="32"/>
        <v>-1.0990921067447359</v>
      </c>
      <c r="I62">
        <f t="shared" si="32"/>
        <v>-1.1325844178444804</v>
      </c>
      <c r="J62">
        <f t="shared" si="32"/>
        <v>-1.0809421591217132</v>
      </c>
      <c r="K62">
        <f t="shared" si="32"/>
        <v>-1.0991274897132399</v>
      </c>
      <c r="L62">
        <f t="shared" si="32"/>
        <v>-1.0894434516978371</v>
      </c>
      <c r="M62">
        <f t="shared" si="32"/>
        <v>-1.0895402820049049</v>
      </c>
      <c r="N62">
        <f t="shared" si="32"/>
        <v>-1.0465213574962908</v>
      </c>
    </row>
    <row r="63" spans="1:14" x14ac:dyDescent="0.35">
      <c r="A63" t="s">
        <v>554</v>
      </c>
      <c r="F63">
        <f t="shared" ref="F63:N63" si="33">0.0757*((F49-F50)/F46)</f>
        <v>-4.1818319185135643E-2</v>
      </c>
      <c r="G63">
        <f t="shared" si="33"/>
        <v>-3.1797192320497172E-2</v>
      </c>
      <c r="H63">
        <f t="shared" si="33"/>
        <v>-3.8369100326539805E-2</v>
      </c>
      <c r="I63">
        <f t="shared" si="33"/>
        <v>-4.6923261060546027E-2</v>
      </c>
      <c r="J63">
        <f t="shared" si="33"/>
        <v>-2.7597578642894107E-2</v>
      </c>
      <c r="K63">
        <f t="shared" si="33"/>
        <v>-3.3032221358381207E-2</v>
      </c>
      <c r="L63">
        <f t="shared" si="33"/>
        <v>-3.3598494737107756E-2</v>
      </c>
      <c r="M63">
        <f t="shared" si="33"/>
        <v>-3.4888688224761814E-2</v>
      </c>
      <c r="N63">
        <f t="shared" si="33"/>
        <v>-3.0076466491114957E-2</v>
      </c>
    </row>
    <row r="64" spans="1:14" x14ac:dyDescent="0.35">
      <c r="A64" t="s">
        <v>555</v>
      </c>
      <c r="F64">
        <f t="shared" ref="F64:N64" si="34">-1.72*F51</f>
        <v>0</v>
      </c>
      <c r="G64">
        <f t="shared" si="34"/>
        <v>0</v>
      </c>
      <c r="H64">
        <f t="shared" si="34"/>
        <v>0</v>
      </c>
      <c r="I64">
        <f t="shared" si="34"/>
        <v>0</v>
      </c>
      <c r="J64">
        <f t="shared" si="34"/>
        <v>0</v>
      </c>
      <c r="K64">
        <f t="shared" si="34"/>
        <v>0</v>
      </c>
      <c r="L64">
        <f t="shared" si="34"/>
        <v>0</v>
      </c>
      <c r="M64">
        <f t="shared" si="34"/>
        <v>0</v>
      </c>
      <c r="N64">
        <f t="shared" si="34"/>
        <v>0</v>
      </c>
    </row>
    <row r="65" spans="1:14" x14ac:dyDescent="0.35">
      <c r="A65" t="s">
        <v>566</v>
      </c>
      <c r="F65">
        <f t="shared" ref="F65:N65" si="35">-2.37*(F52/F46)</f>
        <v>-0.38007496823950332</v>
      </c>
      <c r="G65">
        <f t="shared" si="35"/>
        <v>-0.67863002566755326</v>
      </c>
      <c r="H65">
        <f t="shared" si="35"/>
        <v>0.20861257178245693</v>
      </c>
      <c r="I65">
        <f t="shared" si="35"/>
        <v>-0.3689740912436078</v>
      </c>
      <c r="J65">
        <f t="shared" si="35"/>
        <v>-0.2435325537839769</v>
      </c>
      <c r="K65">
        <f t="shared" si="35"/>
        <v>-0.18391572525624347</v>
      </c>
      <c r="L65">
        <f t="shared" si="35"/>
        <v>-0.1831156634584995</v>
      </c>
      <c r="M65">
        <f t="shared" si="35"/>
        <v>-0.34982073832207994</v>
      </c>
      <c r="N65">
        <f t="shared" si="35"/>
        <v>-0.29459492350036637</v>
      </c>
    </row>
    <row r="66" spans="1:14" x14ac:dyDescent="0.35">
      <c r="A66" t="s">
        <v>567</v>
      </c>
      <c r="F66">
        <f t="shared" ref="F66:N66" si="36">-1.83*(F53/F47)</f>
        <v>-1.5677100004869577</v>
      </c>
      <c r="G66">
        <f t="shared" si="36"/>
        <v>-1.1962826269304783</v>
      </c>
      <c r="H66">
        <f t="shared" si="36"/>
        <v>-1.6510382706437647</v>
      </c>
      <c r="I66">
        <f t="shared" si="36"/>
        <v>-2.3895930279446755</v>
      </c>
      <c r="J66">
        <f t="shared" si="36"/>
        <v>-1.5065229078197662</v>
      </c>
      <c r="K66">
        <f t="shared" si="36"/>
        <v>-1.398975627875082</v>
      </c>
      <c r="L66">
        <f t="shared" si="36"/>
        <v>-1.7173338984846882</v>
      </c>
      <c r="M66">
        <f t="shared" si="36"/>
        <v>-1.7652180031119009</v>
      </c>
      <c r="N66">
        <f t="shared" si="36"/>
        <v>-1.4017531307630664</v>
      </c>
    </row>
    <row r="67" spans="1:14" x14ac:dyDescent="0.35">
      <c r="A67" t="s">
        <v>568</v>
      </c>
      <c r="F67">
        <f t="shared" ref="F67:N67" si="37">0.285*F54</f>
        <v>0</v>
      </c>
      <c r="G67">
        <f t="shared" si="37"/>
        <v>0</v>
      </c>
      <c r="H67">
        <f t="shared" si="37"/>
        <v>0</v>
      </c>
      <c r="I67">
        <f t="shared" si="37"/>
        <v>0</v>
      </c>
      <c r="J67">
        <f t="shared" si="37"/>
        <v>0</v>
      </c>
      <c r="K67">
        <f t="shared" si="37"/>
        <v>0</v>
      </c>
      <c r="L67">
        <f t="shared" si="37"/>
        <v>0</v>
      </c>
      <c r="M67">
        <f t="shared" si="37"/>
        <v>0</v>
      </c>
      <c r="N67">
        <f t="shared" si="37"/>
        <v>0</v>
      </c>
    </row>
    <row r="68" spans="1:14" x14ac:dyDescent="0.35">
      <c r="A68" t="s">
        <v>569</v>
      </c>
      <c r="F68">
        <f t="shared" ref="F68:N68" si="38">-0.521*((F52-E52)/(ABS(F52)+ABS(E52)))</f>
        <v>-0.52100000000000002</v>
      </c>
      <c r="G68">
        <f t="shared" si="38"/>
        <v>-0.19929845044982761</v>
      </c>
      <c r="H68">
        <f t="shared" si="38"/>
        <v>0.52100000000000002</v>
      </c>
      <c r="I68">
        <f t="shared" si="38"/>
        <v>-0.52100000000000002</v>
      </c>
      <c r="J68">
        <f t="shared" si="38"/>
        <v>2.7855606551795101E-2</v>
      </c>
      <c r="K68">
        <f t="shared" si="38"/>
        <v>3.3339646112258453E-2</v>
      </c>
      <c r="L68">
        <f t="shared" si="38"/>
        <v>-2.3739970403135316E-2</v>
      </c>
      <c r="M68">
        <f t="shared" si="38"/>
        <v>-0.20216715129421728</v>
      </c>
      <c r="N68">
        <f t="shared" si="38"/>
        <v>3.2570139243475685E-3</v>
      </c>
    </row>
    <row r="70" spans="1:14" ht="18.5" x14ac:dyDescent="0.45">
      <c r="A70" s="184" t="s">
        <v>570</v>
      </c>
      <c r="F70">
        <f>SUM(F59:F68)</f>
        <v>-3.1126138125376563</v>
      </c>
      <c r="G70">
        <f t="shared" ref="G70:N70" si="39">SUM(G59:G68)</f>
        <v>-3.1776468335619406</v>
      </c>
      <c r="H70">
        <f t="shared" si="39"/>
        <v>-1.9721695950133045</v>
      </c>
      <c r="I70">
        <f t="shared" si="39"/>
        <v>-4.5595611050334126</v>
      </c>
      <c r="J70">
        <f t="shared" si="39"/>
        <v>-2.762652864061919</v>
      </c>
      <c r="K70">
        <f t="shared" si="39"/>
        <v>-2.7132195390721678</v>
      </c>
      <c r="L70">
        <f t="shared" si="39"/>
        <v>-3.0488260877758617</v>
      </c>
      <c r="M70">
        <f t="shared" si="39"/>
        <v>-3.4691311005707774</v>
      </c>
      <c r="N70">
        <f t="shared" si="39"/>
        <v>-2.6361952861319589</v>
      </c>
    </row>
    <row r="72" spans="1:14" s="36" customFormat="1" ht="21" x14ac:dyDescent="0.5">
      <c r="A72" s="36" t="s">
        <v>571</v>
      </c>
      <c r="F72" s="189">
        <f>EXP(F70)/(1+EXP(F70))</f>
        <v>4.2589935793447949E-2</v>
      </c>
      <c r="G72" s="189">
        <f t="shared" ref="G72:N72" si="40">EXP(G70)/(1+EXP(G70))</f>
        <v>4.0015631602892406E-2</v>
      </c>
      <c r="H72" s="189">
        <f t="shared" si="40"/>
        <v>0.12215604180685903</v>
      </c>
      <c r="I72" s="189">
        <f t="shared" si="40"/>
        <v>1.0358235651480001E-2</v>
      </c>
      <c r="J72" s="189">
        <f t="shared" si="40"/>
        <v>5.9376028843075995E-2</v>
      </c>
      <c r="K72" s="189">
        <f t="shared" si="40"/>
        <v>6.2197793242666589E-2</v>
      </c>
      <c r="L72" s="189">
        <f t="shared" si="40"/>
        <v>4.526818168985889E-2</v>
      </c>
      <c r="M72" s="189">
        <f t="shared" si="40"/>
        <v>3.020342218487982E-2</v>
      </c>
      <c r="N72" s="189">
        <f t="shared" si="40"/>
        <v>6.6844970386215452E-2</v>
      </c>
    </row>
    <row r="74" spans="1:14" x14ac:dyDescent="0.35">
      <c r="A74" t="s">
        <v>572</v>
      </c>
    </row>
    <row r="84" spans="1:2" x14ac:dyDescent="0.35">
      <c r="B84">
        <v>2015</v>
      </c>
    </row>
    <row r="85" spans="1:2" x14ac:dyDescent="0.35">
      <c r="A85" t="s">
        <v>688</v>
      </c>
      <c r="B85" s="201">
        <v>0.78</v>
      </c>
    </row>
    <row r="86" spans="1:2" x14ac:dyDescent="0.35">
      <c r="A86" t="s">
        <v>689</v>
      </c>
      <c r="B86" s="201">
        <v>0.11</v>
      </c>
    </row>
    <row r="87" spans="1:2" x14ac:dyDescent="0.35">
      <c r="A87" t="s">
        <v>690</v>
      </c>
      <c r="B87" s="201">
        <v>0.06</v>
      </c>
    </row>
    <row r="88" spans="1:2" x14ac:dyDescent="0.35">
      <c r="A88" t="s">
        <v>691</v>
      </c>
      <c r="B88" s="201">
        <v>0.05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8"/>
  <sheetViews>
    <sheetView topLeftCell="B1" workbookViewId="0">
      <selection activeCell="R20" sqref="R20"/>
    </sheetView>
  </sheetViews>
  <sheetFormatPr defaultColWidth="9.1796875" defaultRowHeight="12.5" x14ac:dyDescent="0.25"/>
  <cols>
    <col min="1" max="2" width="20.7265625" style="186" customWidth="1"/>
    <col min="3" max="4" width="8.26953125" style="186" customWidth="1"/>
    <col min="5" max="5" width="8" style="186" customWidth="1"/>
    <col min="6" max="6" width="9.7265625" style="186" customWidth="1"/>
    <col min="7" max="8" width="9.453125" style="186" customWidth="1"/>
    <col min="9" max="9" width="9.54296875" style="186" customWidth="1"/>
    <col min="10" max="10" width="6" style="186" bestFit="1" customWidth="1"/>
    <col min="11" max="11" width="7.1796875" style="186" customWidth="1"/>
    <col min="12" max="12" width="6.54296875" style="186" customWidth="1"/>
    <col min="13" max="13" width="6.7265625" style="186" customWidth="1"/>
    <col min="14" max="14" width="5" style="186" bestFit="1" customWidth="1"/>
    <col min="15" max="15" width="8" style="186" customWidth="1"/>
    <col min="16" max="16" width="7.54296875" style="186" customWidth="1"/>
    <col min="17" max="17" width="7.81640625" style="186" customWidth="1"/>
    <col min="18" max="256" width="20.7265625" style="186" customWidth="1"/>
    <col min="257" max="16384" width="9.1796875" style="186"/>
  </cols>
  <sheetData>
    <row r="1" spans="1:13" x14ac:dyDescent="0.25">
      <c r="A1" s="186" t="s">
        <v>573</v>
      </c>
    </row>
    <row r="2" spans="1:13" x14ac:dyDescent="0.25">
      <c r="A2" s="186" t="s">
        <v>574</v>
      </c>
    </row>
    <row r="3" spans="1:13" x14ac:dyDescent="0.25">
      <c r="A3" s="186" t="s">
        <v>575</v>
      </c>
    </row>
    <row r="4" spans="1:13" x14ac:dyDescent="0.25">
      <c r="A4" s="186" t="s">
        <v>576</v>
      </c>
    </row>
    <row r="5" spans="1:13" x14ac:dyDescent="0.25">
      <c r="A5" s="186" t="s">
        <v>577</v>
      </c>
    </row>
    <row r="6" spans="1:13" x14ac:dyDescent="0.25">
      <c r="A6" s="186" t="s">
        <v>578</v>
      </c>
    </row>
    <row r="8" spans="1:13" x14ac:dyDescent="0.25">
      <c r="A8" s="186" t="s">
        <v>579</v>
      </c>
      <c r="B8" s="186" t="s">
        <v>580</v>
      </c>
    </row>
    <row r="10" spans="1:13" x14ac:dyDescent="0.25">
      <c r="A10" s="186" t="s">
        <v>581</v>
      </c>
    </row>
    <row r="11" spans="1:13" x14ac:dyDescent="0.25">
      <c r="A11" s="186" t="s">
        <v>582</v>
      </c>
      <c r="B11" s="186" t="s">
        <v>579</v>
      </c>
    </row>
    <row r="12" spans="1:13" x14ac:dyDescent="0.25">
      <c r="A12" s="187">
        <v>42005</v>
      </c>
      <c r="B12" s="188">
        <v>459.3</v>
      </c>
      <c r="C12" s="188">
        <f>B13</f>
        <v>439.6</v>
      </c>
      <c r="D12" s="188">
        <f>B14</f>
        <v>427.7</v>
      </c>
      <c r="E12" s="188">
        <f>B15</f>
        <v>413.5</v>
      </c>
      <c r="F12" s="188">
        <f>B16</f>
        <v>404.1</v>
      </c>
      <c r="G12" s="188">
        <f>B17</f>
        <v>392.1</v>
      </c>
      <c r="H12" s="188">
        <f>B18</f>
        <v>374.8</v>
      </c>
      <c r="I12" s="188">
        <f>B19</f>
        <v>380.5</v>
      </c>
      <c r="J12" s="188">
        <f>B20</f>
        <v>360</v>
      </c>
      <c r="K12" s="188">
        <f>B21</f>
        <v>334.6</v>
      </c>
      <c r="L12" s="188">
        <f>B22</f>
        <v>313.10000000000002</v>
      </c>
      <c r="M12" s="188">
        <f>B23</f>
        <v>291.2</v>
      </c>
    </row>
    <row r="13" spans="1:13" x14ac:dyDescent="0.25">
      <c r="A13" s="187">
        <v>41640</v>
      </c>
      <c r="B13" s="188">
        <v>439.6</v>
      </c>
    </row>
    <row r="14" spans="1:13" x14ac:dyDescent="0.25">
      <c r="A14" s="187">
        <v>41275</v>
      </c>
      <c r="B14" s="188">
        <v>427.7</v>
      </c>
    </row>
    <row r="15" spans="1:13" x14ac:dyDescent="0.25">
      <c r="A15" s="187">
        <v>40909</v>
      </c>
      <c r="B15" s="188">
        <v>413.5</v>
      </c>
    </row>
    <row r="16" spans="1:13" x14ac:dyDescent="0.25">
      <c r="A16" s="187">
        <v>40544</v>
      </c>
      <c r="B16" s="188">
        <v>404.1</v>
      </c>
    </row>
    <row r="17" spans="1:17" x14ac:dyDescent="0.25">
      <c r="A17" s="187">
        <v>40179</v>
      </c>
      <c r="B17" s="188">
        <v>392.1</v>
      </c>
      <c r="F17" s="186">
        <v>459.3</v>
      </c>
      <c r="G17" s="186">
        <v>439.6</v>
      </c>
      <c r="H17" s="186">
        <v>427.7</v>
      </c>
      <c r="I17" s="186">
        <v>413.5</v>
      </c>
      <c r="J17" s="186">
        <v>404.1</v>
      </c>
      <c r="K17" s="186">
        <v>392.1</v>
      </c>
      <c r="L17" s="186">
        <v>374.8</v>
      </c>
      <c r="M17" s="186">
        <v>380.5</v>
      </c>
      <c r="N17" s="186">
        <v>360</v>
      </c>
      <c r="O17" s="186">
        <v>334.6</v>
      </c>
      <c r="P17" s="186">
        <v>313.10000000000002</v>
      </c>
      <c r="Q17" s="186">
        <v>291.2</v>
      </c>
    </row>
    <row r="18" spans="1:17" x14ac:dyDescent="0.25">
      <c r="A18" s="187">
        <v>39814</v>
      </c>
      <c r="B18" s="188">
        <v>374.8</v>
      </c>
      <c r="F18" s="186">
        <v>2015</v>
      </c>
      <c r="G18" s="186">
        <v>2014</v>
      </c>
      <c r="H18" s="186">
        <v>2013</v>
      </c>
      <c r="I18" s="186">
        <v>2012</v>
      </c>
      <c r="J18" s="186">
        <v>2011</v>
      </c>
      <c r="K18" s="186">
        <v>2010</v>
      </c>
      <c r="L18" s="186">
        <v>2009</v>
      </c>
      <c r="M18" s="186">
        <v>2008</v>
      </c>
      <c r="N18" s="186">
        <v>2007</v>
      </c>
      <c r="O18" s="186">
        <v>2006</v>
      </c>
      <c r="P18" s="186">
        <v>2005</v>
      </c>
      <c r="Q18" s="186">
        <v>2004</v>
      </c>
    </row>
    <row r="19" spans="1:17" x14ac:dyDescent="0.25">
      <c r="A19" s="187">
        <v>39448</v>
      </c>
      <c r="B19" s="188">
        <v>380.5</v>
      </c>
    </row>
    <row r="20" spans="1:17" x14ac:dyDescent="0.25">
      <c r="A20" s="187">
        <v>39083</v>
      </c>
      <c r="B20" s="188">
        <v>360</v>
      </c>
      <c r="F20" s="186">
        <v>291.2</v>
      </c>
      <c r="G20" s="186">
        <v>313.10000000000002</v>
      </c>
      <c r="H20" s="186">
        <v>334.6</v>
      </c>
      <c r="I20" s="186">
        <v>360</v>
      </c>
      <c r="J20" s="186">
        <v>380.5</v>
      </c>
      <c r="K20" s="186">
        <v>378.8</v>
      </c>
      <c r="L20" s="186">
        <v>392.1</v>
      </c>
      <c r="M20" s="186">
        <v>404.1</v>
      </c>
      <c r="N20" s="186">
        <v>413.5</v>
      </c>
      <c r="O20" s="186">
        <v>427.7</v>
      </c>
      <c r="P20" s="186">
        <v>439.6</v>
      </c>
      <c r="Q20" s="186">
        <v>459.3</v>
      </c>
    </row>
    <row r="21" spans="1:17" x14ac:dyDescent="0.25">
      <c r="A21" s="187">
        <v>38718</v>
      </c>
      <c r="B21" s="188">
        <v>334.6</v>
      </c>
    </row>
    <row r="22" spans="1:17" x14ac:dyDescent="0.25">
      <c r="A22" s="187">
        <v>38353</v>
      </c>
      <c r="B22" s="188">
        <v>313.10000000000002</v>
      </c>
    </row>
    <row r="23" spans="1:17" x14ac:dyDescent="0.25">
      <c r="A23" s="187">
        <v>37987</v>
      </c>
      <c r="B23" s="188">
        <v>291.2</v>
      </c>
    </row>
    <row r="24" spans="1:17" x14ac:dyDescent="0.25">
      <c r="A24" s="187">
        <v>37622</v>
      </c>
      <c r="B24" s="188">
        <v>277.60000000000002</v>
      </c>
    </row>
    <row r="25" spans="1:17" x14ac:dyDescent="0.25">
      <c r="A25" s="187">
        <v>37257</v>
      </c>
      <c r="B25" s="188">
        <v>265.7</v>
      </c>
    </row>
    <row r="26" spans="1:17" x14ac:dyDescent="0.25">
      <c r="A26" s="187">
        <v>36892</v>
      </c>
      <c r="B26" s="188">
        <v>263.2</v>
      </c>
    </row>
    <row r="27" spans="1:17" x14ac:dyDescent="0.25">
      <c r="A27" s="187">
        <v>36526</v>
      </c>
      <c r="B27" s="188">
        <v>255.6</v>
      </c>
    </row>
    <row r="28" spans="1:17" x14ac:dyDescent="0.25">
      <c r="A28" s="187">
        <v>36161</v>
      </c>
      <c r="B28" s="188">
        <v>237.2</v>
      </c>
    </row>
    <row r="29" spans="1:17" x14ac:dyDescent="0.25">
      <c r="A29" s="187">
        <v>35796</v>
      </c>
      <c r="B29" s="188">
        <v>222.4</v>
      </c>
    </row>
    <row r="30" spans="1:17" x14ac:dyDescent="0.25">
      <c r="A30" s="187">
        <v>35431</v>
      </c>
      <c r="B30" s="188">
        <v>212</v>
      </c>
    </row>
    <row r="31" spans="1:17" x14ac:dyDescent="0.25">
      <c r="A31" s="187">
        <v>35065</v>
      </c>
      <c r="B31" s="188">
        <v>199.8</v>
      </c>
    </row>
    <row r="32" spans="1:17" x14ac:dyDescent="0.25">
      <c r="A32" s="187">
        <v>34700</v>
      </c>
      <c r="B32" s="188">
        <v>187.5</v>
      </c>
    </row>
    <row r="33" spans="1:2" x14ac:dyDescent="0.25">
      <c r="A33" s="187">
        <v>34335</v>
      </c>
      <c r="B33" s="188">
        <v>175</v>
      </c>
    </row>
    <row r="34" spans="1:2" x14ac:dyDescent="0.25">
      <c r="A34" s="187">
        <v>33970</v>
      </c>
      <c r="B34" s="188">
        <v>172</v>
      </c>
    </row>
    <row r="35" spans="1:2" x14ac:dyDescent="0.25">
      <c r="A35" s="187">
        <v>33604</v>
      </c>
      <c r="B35" s="188">
        <v>171.9</v>
      </c>
    </row>
    <row r="36" spans="1:2" x14ac:dyDescent="0.25">
      <c r="A36" s="187">
        <v>33239</v>
      </c>
      <c r="B36" s="188">
        <v>170</v>
      </c>
    </row>
    <row r="37" spans="1:2" x14ac:dyDescent="0.25">
      <c r="A37" s="187">
        <v>32874</v>
      </c>
      <c r="B37" s="188">
        <v>164.2</v>
      </c>
    </row>
    <row r="38" spans="1:2" x14ac:dyDescent="0.25">
      <c r="A38" s="187">
        <v>32509</v>
      </c>
      <c r="B38" s="188">
        <v>155.9</v>
      </c>
    </row>
    <row r="39" spans="1:2" x14ac:dyDescent="0.25">
      <c r="A39" s="187">
        <v>32143</v>
      </c>
      <c r="B39" s="188">
        <v>148.19999999999999</v>
      </c>
    </row>
    <row r="40" spans="1:2" x14ac:dyDescent="0.25">
      <c r="A40" s="187">
        <v>31778</v>
      </c>
      <c r="B40" s="188">
        <v>140.19999999999999</v>
      </c>
    </row>
    <row r="41" spans="1:2" x14ac:dyDescent="0.25">
      <c r="A41" s="187">
        <v>31413</v>
      </c>
      <c r="B41" s="188">
        <v>132</v>
      </c>
    </row>
    <row r="42" spans="1:2" x14ac:dyDescent="0.25">
      <c r="A42" s="187">
        <v>31048</v>
      </c>
      <c r="B42" s="188">
        <v>125.1</v>
      </c>
    </row>
    <row r="43" spans="1:2" x14ac:dyDescent="0.25">
      <c r="A43" s="187">
        <v>30682</v>
      </c>
      <c r="B43" s="188">
        <v>111.4</v>
      </c>
    </row>
    <row r="44" spans="1:2" x14ac:dyDescent="0.25">
      <c r="A44" s="187">
        <v>30317</v>
      </c>
      <c r="B44" s="188">
        <v>98.4</v>
      </c>
    </row>
    <row r="45" spans="1:2" x14ac:dyDescent="0.25">
      <c r="A45" s="187">
        <v>29952</v>
      </c>
      <c r="B45" s="188">
        <v>89</v>
      </c>
    </row>
    <row r="46" spans="1:2" x14ac:dyDescent="0.25">
      <c r="A46" s="187">
        <v>29587</v>
      </c>
      <c r="B46" s="188">
        <v>79.900000000000006</v>
      </c>
    </row>
    <row r="47" spans="1:2" x14ac:dyDescent="0.25">
      <c r="A47" s="187">
        <v>29221</v>
      </c>
      <c r="B47" s="188">
        <v>69.8</v>
      </c>
    </row>
    <row r="48" spans="1:2" x14ac:dyDescent="0.25">
      <c r="A48" s="187">
        <v>28856</v>
      </c>
      <c r="B48" s="188">
        <v>60.9</v>
      </c>
    </row>
    <row r="49" spans="1:2" x14ac:dyDescent="0.25">
      <c r="A49" s="187">
        <v>28491</v>
      </c>
      <c r="B49" s="188">
        <v>53.5</v>
      </c>
    </row>
    <row r="50" spans="1:2" x14ac:dyDescent="0.25">
      <c r="A50" s="187">
        <v>28126</v>
      </c>
      <c r="B50" s="188">
        <v>47.5</v>
      </c>
    </row>
    <row r="51" spans="1:2" x14ac:dyDescent="0.25">
      <c r="A51" s="187">
        <v>27760</v>
      </c>
      <c r="B51" s="188">
        <v>43.1</v>
      </c>
    </row>
    <row r="52" spans="1:2" x14ac:dyDescent="0.25">
      <c r="A52" s="187">
        <v>27395</v>
      </c>
      <c r="B52" s="188">
        <v>39</v>
      </c>
    </row>
    <row r="53" spans="1:2" x14ac:dyDescent="0.25">
      <c r="A53" s="187">
        <v>27030</v>
      </c>
      <c r="B53" s="188">
        <v>36.4</v>
      </c>
    </row>
    <row r="54" spans="1:2" x14ac:dyDescent="0.25">
      <c r="A54" s="187">
        <v>26665</v>
      </c>
      <c r="B54" s="188">
        <v>33.799999999999997</v>
      </c>
    </row>
    <row r="55" spans="1:2" x14ac:dyDescent="0.25">
      <c r="A55" s="187">
        <v>26299</v>
      </c>
      <c r="B55" s="188">
        <v>31.3</v>
      </c>
    </row>
    <row r="56" spans="1:2" x14ac:dyDescent="0.25">
      <c r="A56" s="187">
        <v>25934</v>
      </c>
      <c r="B56" s="188">
        <v>29.1</v>
      </c>
    </row>
    <row r="57" spans="1:2" x14ac:dyDescent="0.25">
      <c r="A57" s="187">
        <v>25569</v>
      </c>
      <c r="B57" s="188">
        <v>28.3</v>
      </c>
    </row>
    <row r="58" spans="1:2" x14ac:dyDescent="0.25">
      <c r="A58" s="187">
        <v>25204</v>
      </c>
      <c r="B58" s="188">
        <v>28.2</v>
      </c>
    </row>
    <row r="59" spans="1:2" x14ac:dyDescent="0.25">
      <c r="A59" s="187">
        <v>24838</v>
      </c>
      <c r="B59" s="188">
        <v>26.6</v>
      </c>
    </row>
    <row r="60" spans="1:2" x14ac:dyDescent="0.25">
      <c r="A60" s="187">
        <v>24473</v>
      </c>
      <c r="B60" s="188">
        <v>24.9</v>
      </c>
    </row>
    <row r="61" spans="1:2" x14ac:dyDescent="0.25">
      <c r="A61" s="187">
        <v>24108</v>
      </c>
      <c r="B61" s="188">
        <v>23.2</v>
      </c>
    </row>
    <row r="62" spans="1:2" x14ac:dyDescent="0.25">
      <c r="A62" s="187">
        <v>23743</v>
      </c>
      <c r="B62" s="188">
        <v>20.8</v>
      </c>
    </row>
    <row r="63" spans="1:2" x14ac:dyDescent="0.25">
      <c r="A63" s="187">
        <v>23377</v>
      </c>
      <c r="B63" s="188">
        <v>19.3</v>
      </c>
    </row>
    <row r="64" spans="1:2" x14ac:dyDescent="0.25">
      <c r="A64" s="187">
        <v>23012</v>
      </c>
      <c r="B64" s="188">
        <v>17.600000000000001</v>
      </c>
    </row>
    <row r="65" spans="1:2" x14ac:dyDescent="0.25">
      <c r="A65" s="187">
        <v>22647</v>
      </c>
      <c r="B65" s="188">
        <v>15.4</v>
      </c>
    </row>
    <row r="66" spans="1:2" x14ac:dyDescent="0.25">
      <c r="A66" s="187">
        <v>22282</v>
      </c>
      <c r="B66" s="188">
        <v>13.9</v>
      </c>
    </row>
    <row r="67" spans="1:2" x14ac:dyDescent="0.25">
      <c r="A67" s="187">
        <v>21916</v>
      </c>
      <c r="B67" s="188">
        <v>12.7</v>
      </c>
    </row>
    <row r="68" spans="1:2" x14ac:dyDescent="0.25">
      <c r="A68" s="187">
        <v>21551</v>
      </c>
      <c r="B68" s="188">
        <v>11.4</v>
      </c>
    </row>
    <row r="69" spans="1:2" x14ac:dyDescent="0.25">
      <c r="A69" s="187">
        <v>21186</v>
      </c>
      <c r="B69" s="188">
        <v>10.4</v>
      </c>
    </row>
    <row r="70" spans="1:2" x14ac:dyDescent="0.25">
      <c r="A70" s="187">
        <v>20821</v>
      </c>
      <c r="B70" s="188">
        <v>9.6</v>
      </c>
    </row>
    <row r="71" spans="1:2" x14ac:dyDescent="0.25">
      <c r="A71" s="187">
        <v>20455</v>
      </c>
      <c r="B71" s="188">
        <v>8.4</v>
      </c>
    </row>
    <row r="72" spans="1:2" x14ac:dyDescent="0.25">
      <c r="A72" s="187">
        <v>20090</v>
      </c>
      <c r="B72" s="188">
        <v>6.3</v>
      </c>
    </row>
    <row r="73" spans="1:2" x14ac:dyDescent="0.25">
      <c r="A73" s="187">
        <v>19725</v>
      </c>
      <c r="B73" s="188">
        <v>5.6</v>
      </c>
    </row>
    <row r="74" spans="1:2" x14ac:dyDescent="0.25">
      <c r="A74" s="187">
        <v>19360</v>
      </c>
      <c r="B74" s="188">
        <v>5.0999999999999996</v>
      </c>
    </row>
    <row r="75" spans="1:2" x14ac:dyDescent="0.25">
      <c r="A75" s="187">
        <v>18994</v>
      </c>
      <c r="B75" s="188">
        <v>4.3</v>
      </c>
    </row>
    <row r="76" spans="1:2" x14ac:dyDescent="0.25">
      <c r="A76" s="187">
        <v>18629</v>
      </c>
      <c r="B76" s="188">
        <v>3.5</v>
      </c>
    </row>
    <row r="77" spans="1:2" x14ac:dyDescent="0.25">
      <c r="A77" s="187">
        <v>18264</v>
      </c>
      <c r="B77" s="188">
        <v>3.1</v>
      </c>
    </row>
    <row r="78" spans="1:2" x14ac:dyDescent="0.25">
      <c r="A78" s="187">
        <v>17899</v>
      </c>
      <c r="B78" s="188">
        <v>2.7</v>
      </c>
    </row>
    <row r="79" spans="1:2" x14ac:dyDescent="0.25">
      <c r="A79" s="187">
        <v>17533</v>
      </c>
      <c r="B79" s="188">
        <v>2.7</v>
      </c>
    </row>
    <row r="80" spans="1:2" x14ac:dyDescent="0.25">
      <c r="A80" s="187">
        <v>17168</v>
      </c>
      <c r="B80" s="188">
        <v>2.4</v>
      </c>
    </row>
    <row r="81" spans="1:2" x14ac:dyDescent="0.25">
      <c r="A81" s="187">
        <v>16803</v>
      </c>
      <c r="B81" s="188">
        <v>2.2000000000000002</v>
      </c>
    </row>
    <row r="82" spans="1:2" x14ac:dyDescent="0.25">
      <c r="A82" s="187">
        <v>16438</v>
      </c>
      <c r="B82" s="188">
        <v>2.1</v>
      </c>
    </row>
    <row r="83" spans="1:2" x14ac:dyDescent="0.25">
      <c r="A83" s="187">
        <v>16072</v>
      </c>
      <c r="B83" s="188">
        <v>2.1</v>
      </c>
    </row>
    <row r="84" spans="1:2" x14ac:dyDescent="0.25">
      <c r="A84" s="187">
        <v>15707</v>
      </c>
      <c r="B84" s="188">
        <v>1.4</v>
      </c>
    </row>
    <row r="85" spans="1:2" x14ac:dyDescent="0.25">
      <c r="A85" s="187">
        <v>15342</v>
      </c>
      <c r="B85" s="188">
        <v>1.1000000000000001</v>
      </c>
    </row>
    <row r="86" spans="1:2" x14ac:dyDescent="0.25">
      <c r="A86" s="187">
        <v>14977</v>
      </c>
      <c r="B86" s="188">
        <v>0.9</v>
      </c>
    </row>
    <row r="87" spans="1:2" x14ac:dyDescent="0.25">
      <c r="A87" s="187">
        <v>14611</v>
      </c>
      <c r="B87" s="188">
        <v>0.5</v>
      </c>
    </row>
    <row r="88" spans="1:2" x14ac:dyDescent="0.25">
      <c r="A88" s="187">
        <v>14246</v>
      </c>
      <c r="B88" s="188">
        <v>0.4</v>
      </c>
    </row>
    <row r="89" spans="1:2" x14ac:dyDescent="0.25">
      <c r="A89" s="187">
        <v>13881</v>
      </c>
      <c r="B89" s="188">
        <v>0.4</v>
      </c>
    </row>
    <row r="90" spans="1:2" x14ac:dyDescent="0.25">
      <c r="A90" s="187">
        <v>13516</v>
      </c>
      <c r="B90" s="188">
        <v>0.4</v>
      </c>
    </row>
    <row r="91" spans="1:2" x14ac:dyDescent="0.25">
      <c r="A91" s="187">
        <v>13150</v>
      </c>
      <c r="B91" s="188">
        <v>0.4</v>
      </c>
    </row>
    <row r="92" spans="1:2" x14ac:dyDescent="0.25">
      <c r="A92" s="187">
        <v>12785</v>
      </c>
      <c r="B92" s="188">
        <v>0.3</v>
      </c>
    </row>
    <row r="93" spans="1:2" x14ac:dyDescent="0.25">
      <c r="A93" s="187">
        <v>12420</v>
      </c>
      <c r="B93" s="188">
        <v>0.3</v>
      </c>
    </row>
    <row r="94" spans="1:2" x14ac:dyDescent="0.25">
      <c r="A94" s="187">
        <v>12055</v>
      </c>
      <c r="B94" s="188">
        <v>0.3</v>
      </c>
    </row>
    <row r="95" spans="1:2" x14ac:dyDescent="0.25">
      <c r="A95" s="187">
        <v>11689</v>
      </c>
      <c r="B95" s="188">
        <v>0.3</v>
      </c>
    </row>
    <row r="96" spans="1:2" x14ac:dyDescent="0.25">
      <c r="A96" s="187">
        <v>11324</v>
      </c>
      <c r="B96" s="188">
        <v>0.3</v>
      </c>
    </row>
    <row r="97" spans="1:2" x14ac:dyDescent="0.25">
      <c r="A97" s="187">
        <v>10959</v>
      </c>
      <c r="B97" s="188">
        <v>0.3</v>
      </c>
    </row>
    <row r="98" spans="1:2" x14ac:dyDescent="0.25">
      <c r="A98" s="187">
        <v>10594</v>
      </c>
      <c r="B98" s="188">
        <v>0.3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9"/>
  <sheetViews>
    <sheetView topLeftCell="A21" zoomScale="70" zoomScaleNormal="70" workbookViewId="0">
      <selection activeCell="K81" sqref="K81"/>
    </sheetView>
  </sheetViews>
  <sheetFormatPr defaultColWidth="9.1796875" defaultRowHeight="12.5" x14ac:dyDescent="0.25"/>
  <cols>
    <col min="1" max="1" width="18.7265625" style="186" bestFit="1" customWidth="1"/>
    <col min="2" max="2" width="32.26953125" style="186" bestFit="1" customWidth="1"/>
    <col min="3" max="3" width="17.7265625" style="186" bestFit="1" customWidth="1"/>
    <col min="4" max="4" width="20.81640625" style="186" customWidth="1"/>
    <col min="5" max="5" width="19" style="186" bestFit="1" customWidth="1"/>
    <col min="6" max="6" width="16.54296875" style="186" bestFit="1" customWidth="1"/>
    <col min="7" max="7" width="15" style="186" bestFit="1" customWidth="1"/>
    <col min="8" max="8" width="17.7265625" style="186" bestFit="1" customWidth="1"/>
    <col min="9" max="9" width="15" style="186" bestFit="1" customWidth="1"/>
    <col min="10" max="10" width="16.54296875" style="186" bestFit="1" customWidth="1"/>
    <col min="11" max="11" width="14" style="186" bestFit="1" customWidth="1"/>
    <col min="12" max="12" width="12" style="186" bestFit="1" customWidth="1"/>
    <col min="13" max="13" width="13.1796875" style="186" customWidth="1"/>
    <col min="14" max="14" width="15" style="186" bestFit="1" customWidth="1"/>
    <col min="15" max="15" width="15.453125" style="186" customWidth="1"/>
    <col min="16" max="19" width="12" style="186" bestFit="1" customWidth="1"/>
    <col min="20" max="16384" width="9.1796875" style="186"/>
  </cols>
  <sheetData>
    <row r="1" spans="1:19" x14ac:dyDescent="0.25">
      <c r="A1" s="186" t="s">
        <v>633</v>
      </c>
      <c r="B1" s="186" t="s">
        <v>632</v>
      </c>
      <c r="C1" s="186" t="s">
        <v>631</v>
      </c>
    </row>
    <row r="2" spans="1:19" x14ac:dyDescent="0.25">
      <c r="A2" s="186" t="s">
        <v>630</v>
      </c>
      <c r="C2" s="186" t="s">
        <v>629</v>
      </c>
    </row>
    <row r="3" spans="1:19" ht="13" x14ac:dyDescent="0.3">
      <c r="A3" s="191" t="s">
        <v>628</v>
      </c>
      <c r="B3" s="191" t="s">
        <v>627</v>
      </c>
      <c r="C3" s="191" t="s">
        <v>626</v>
      </c>
      <c r="D3" s="191" t="s">
        <v>625</v>
      </c>
      <c r="E3" s="191" t="s">
        <v>624</v>
      </c>
      <c r="F3" s="191" t="s">
        <v>623</v>
      </c>
      <c r="G3" s="191" t="s">
        <v>622</v>
      </c>
      <c r="H3" s="191" t="s">
        <v>621</v>
      </c>
      <c r="I3" s="191" t="s">
        <v>620</v>
      </c>
      <c r="J3" s="191" t="s">
        <v>619</v>
      </c>
      <c r="K3" s="191" t="s">
        <v>618</v>
      </c>
      <c r="L3" s="191" t="s">
        <v>641</v>
      </c>
      <c r="M3" s="191" t="s">
        <v>640</v>
      </c>
      <c r="N3" s="204" t="s">
        <v>671</v>
      </c>
      <c r="O3" s="191" t="s">
        <v>639</v>
      </c>
      <c r="P3" s="191" t="s">
        <v>638</v>
      </c>
      <c r="Q3" s="191" t="s">
        <v>637</v>
      </c>
      <c r="R3" s="191" t="s">
        <v>636</v>
      </c>
      <c r="S3" s="191" t="s">
        <v>635</v>
      </c>
    </row>
    <row r="4" spans="1:19" x14ac:dyDescent="0.25">
      <c r="A4" s="186" t="s">
        <v>617</v>
      </c>
      <c r="N4" s="203"/>
    </row>
    <row r="5" spans="1:19" x14ac:dyDescent="0.25">
      <c r="A5" s="186" t="s">
        <v>616</v>
      </c>
      <c r="B5" s="186" t="s">
        <v>616</v>
      </c>
      <c r="D5" s="186">
        <v>5289.5446085799995</v>
      </c>
      <c r="E5" s="186">
        <v>110.67818138816138</v>
      </c>
      <c r="F5" s="186">
        <v>88.145305454545451</v>
      </c>
      <c r="G5" s="186">
        <v>895.00818181818181</v>
      </c>
      <c r="H5" s="186">
        <v>292.73754545454545</v>
      </c>
      <c r="I5" s="186">
        <v>101.65018181818182</v>
      </c>
      <c r="J5" s="186">
        <v>357.63597202797195</v>
      </c>
      <c r="K5" s="186">
        <v>0.97996822192462707</v>
      </c>
      <c r="L5" s="186">
        <v>0.94502118775907451</v>
      </c>
      <c r="M5" s="186">
        <v>0.92284828850082434</v>
      </c>
      <c r="N5" s="203">
        <f>AVERAGE(L5:M5)</f>
        <v>0.93393473812994943</v>
      </c>
      <c r="O5" s="186">
        <v>1.3375000000000001</v>
      </c>
      <c r="P5" s="186">
        <v>10.576765927401455</v>
      </c>
      <c r="Q5" s="186">
        <v>10.20831031799316</v>
      </c>
      <c r="R5" s="186">
        <v>89.423234072598547</v>
      </c>
      <c r="S5" s="186">
        <v>89.791689300537115</v>
      </c>
    </row>
    <row r="6" spans="1:19" x14ac:dyDescent="0.25">
      <c r="A6" s="186" t="s">
        <v>615</v>
      </c>
      <c r="B6" s="186" t="s">
        <v>614</v>
      </c>
      <c r="C6" s="186" t="s">
        <v>613</v>
      </c>
      <c r="D6" s="186">
        <v>7820.7179122799998</v>
      </c>
      <c r="E6" s="186">
        <v>98.139999389648395</v>
      </c>
      <c r="F6" s="186">
        <v>79.689399999999992</v>
      </c>
      <c r="G6" s="186">
        <v>0</v>
      </c>
      <c r="H6" s="186">
        <v>419.94799999999998</v>
      </c>
      <c r="I6" s="186">
        <v>68.98</v>
      </c>
      <c r="J6" s="186">
        <v>206.63799999999998</v>
      </c>
      <c r="K6" s="186">
        <v>1.13461584863026</v>
      </c>
      <c r="L6" s="186">
        <v>1.20343906325753</v>
      </c>
      <c r="M6" s="186">
        <v>1.04349686469589</v>
      </c>
      <c r="N6" s="203">
        <f t="shared" ref="N6:N16" si="0">AVERAGE(L6:M6)</f>
        <v>1.12346796397671</v>
      </c>
      <c r="O6" s="186" t="s">
        <v>634</v>
      </c>
      <c r="P6" s="186">
        <v>0</v>
      </c>
      <c r="Q6" s="186">
        <v>0</v>
      </c>
      <c r="R6" s="186">
        <v>100</v>
      </c>
      <c r="S6" s="186">
        <v>100</v>
      </c>
    </row>
    <row r="7" spans="1:19" x14ac:dyDescent="0.25">
      <c r="A7" s="186" t="s">
        <v>612</v>
      </c>
      <c r="B7" s="186" t="s">
        <v>611</v>
      </c>
      <c r="C7" s="186" t="s">
        <v>610</v>
      </c>
      <c r="D7" s="186">
        <v>13409.537697599999</v>
      </c>
      <c r="E7" s="186">
        <v>58.080001831054702</v>
      </c>
      <c r="F7" s="186">
        <v>230.88049999999998</v>
      </c>
      <c r="G7" s="186">
        <v>1586.2</v>
      </c>
      <c r="H7" s="186">
        <v>330.7</v>
      </c>
      <c r="I7" s="186">
        <v>229</v>
      </c>
      <c r="J7" s="186">
        <v>590.10769230769199</v>
      </c>
      <c r="K7" s="186">
        <v>0.86219967258803798</v>
      </c>
      <c r="L7" s="186">
        <v>0.95597805151278503</v>
      </c>
      <c r="M7" s="186">
        <v>0.89573394917163596</v>
      </c>
      <c r="N7" s="203">
        <f t="shared" si="0"/>
        <v>0.92585600034221049</v>
      </c>
      <c r="O7" s="186">
        <v>0.28999999999999998</v>
      </c>
      <c r="P7" s="186">
        <v>19.4881076812744</v>
      </c>
      <c r="Q7" s="186">
        <v>16.162420272827099</v>
      </c>
      <c r="R7" s="186">
        <v>80.511894226074205</v>
      </c>
      <c r="S7" s="186">
        <v>83.837577819824205</v>
      </c>
    </row>
    <row r="8" spans="1:19" x14ac:dyDescent="0.25">
      <c r="A8" s="186" t="s">
        <v>609</v>
      </c>
      <c r="B8" s="186" t="s">
        <v>608</v>
      </c>
      <c r="C8" s="186" t="s">
        <v>607</v>
      </c>
      <c r="D8" s="186">
        <v>1315.5269263499999</v>
      </c>
      <c r="E8" s="186">
        <v>64.930000305175795</v>
      </c>
      <c r="F8" s="186">
        <v>20.26069</v>
      </c>
      <c r="G8" s="186">
        <v>0.08</v>
      </c>
      <c r="H8" s="186">
        <v>86.009</v>
      </c>
      <c r="I8" s="186">
        <v>8.7409999999999997</v>
      </c>
      <c r="J8" s="186">
        <v>29.063000000000002</v>
      </c>
      <c r="K8" s="186">
        <v>1.03245473356144</v>
      </c>
      <c r="M8" s="186">
        <v>0.95475525829389196</v>
      </c>
      <c r="N8" s="203">
        <f t="shared" si="0"/>
        <v>0.95475525829389196</v>
      </c>
      <c r="O8" s="186" t="s">
        <v>634</v>
      </c>
      <c r="P8" s="186">
        <v>0</v>
      </c>
      <c r="Q8" s="186">
        <v>0</v>
      </c>
      <c r="R8" s="186">
        <v>100</v>
      </c>
      <c r="S8" s="186">
        <v>100</v>
      </c>
    </row>
    <row r="9" spans="1:19" x14ac:dyDescent="0.25">
      <c r="A9" s="186" t="s">
        <v>606</v>
      </c>
      <c r="B9" s="186" t="s">
        <v>605</v>
      </c>
      <c r="C9" s="186" t="s">
        <v>604</v>
      </c>
      <c r="D9" s="186">
        <v>894.80933999999991</v>
      </c>
      <c r="E9" s="186">
        <v>490.5</v>
      </c>
      <c r="F9" s="186">
        <v>1.8242799999999999</v>
      </c>
      <c r="G9" s="186">
        <v>0</v>
      </c>
      <c r="H9" s="186">
        <v>23.747</v>
      </c>
      <c r="I9" s="186">
        <v>13.189</v>
      </c>
      <c r="J9" s="186">
        <v>53.732999999999997</v>
      </c>
      <c r="K9" s="186">
        <v>0.60018221942420202</v>
      </c>
      <c r="L9" s="186">
        <v>0.78480537543083595</v>
      </c>
      <c r="M9" s="186">
        <v>0.66128372593661999</v>
      </c>
      <c r="N9" s="203">
        <f t="shared" si="0"/>
        <v>0.72304455068372797</v>
      </c>
      <c r="O9" s="186">
        <v>3.3</v>
      </c>
      <c r="P9" s="186">
        <v>25.167455673217798</v>
      </c>
      <c r="Q9" s="186">
        <v>21.060674667358398</v>
      </c>
      <c r="R9" s="186">
        <v>74.832542419433594</v>
      </c>
      <c r="S9" s="186">
        <v>78.939323425292997</v>
      </c>
    </row>
    <row r="10" spans="1:19" x14ac:dyDescent="0.25">
      <c r="A10" s="186" t="s">
        <v>603</v>
      </c>
      <c r="B10" s="186" t="s">
        <v>602</v>
      </c>
      <c r="C10" s="186" t="s">
        <v>601</v>
      </c>
      <c r="D10" s="186">
        <v>1781.0868232799999</v>
      </c>
      <c r="E10" s="186">
        <v>38.159999847412102</v>
      </c>
      <c r="F10" s="186">
        <v>46.67418</v>
      </c>
      <c r="G10" s="186">
        <v>589.4</v>
      </c>
      <c r="H10" s="186">
        <v>86.7</v>
      </c>
      <c r="I10" s="186">
        <v>56.7</v>
      </c>
      <c r="J10" s="186">
        <v>220.5</v>
      </c>
      <c r="K10" s="186">
        <v>1.27470399464921</v>
      </c>
      <c r="M10" s="186">
        <v>1.0748349256906</v>
      </c>
      <c r="N10" s="203">
        <f t="shared" si="0"/>
        <v>1.0748349256906</v>
      </c>
      <c r="O10" s="186" t="s">
        <v>634</v>
      </c>
      <c r="P10" s="186">
        <v>0</v>
      </c>
      <c r="R10" s="186">
        <v>100</v>
      </c>
    </row>
    <row r="11" spans="1:19" x14ac:dyDescent="0.25">
      <c r="A11" s="186" t="s">
        <v>600</v>
      </c>
      <c r="B11" s="186" t="s">
        <v>599</v>
      </c>
      <c r="C11" s="186" t="s">
        <v>598</v>
      </c>
      <c r="D11" s="186">
        <v>6803.1416987700004</v>
      </c>
      <c r="E11" s="186">
        <v>154.42999267578099</v>
      </c>
      <c r="F11" s="186">
        <v>44.053239999999995</v>
      </c>
      <c r="G11" s="186">
        <v>1031.8620000000001</v>
      </c>
      <c r="H11" s="186">
        <v>499.459</v>
      </c>
      <c r="I11" s="186">
        <v>121.46599999999999</v>
      </c>
      <c r="J11" s="186">
        <v>434.995</v>
      </c>
      <c r="K11" s="186">
        <v>0.88072526254745398</v>
      </c>
      <c r="L11" s="186">
        <v>0.83720429422715603</v>
      </c>
      <c r="M11" s="186">
        <v>0.84825643909062798</v>
      </c>
      <c r="N11" s="203">
        <f t="shared" si="0"/>
        <v>0.84273036665889201</v>
      </c>
      <c r="O11" s="186">
        <v>1.36</v>
      </c>
      <c r="P11" s="186">
        <v>22.621299743652301</v>
      </c>
      <c r="Q11" s="186">
        <v>23.9529418945313</v>
      </c>
      <c r="R11" s="186">
        <v>77.378700256347699</v>
      </c>
      <c r="S11" s="186">
        <v>76.047058105468807</v>
      </c>
    </row>
    <row r="12" spans="1:19" x14ac:dyDescent="0.25">
      <c r="A12" s="186" t="s">
        <v>597</v>
      </c>
      <c r="B12" s="186" t="s">
        <v>596</v>
      </c>
      <c r="C12" s="186" t="s">
        <v>595</v>
      </c>
      <c r="D12" s="186">
        <v>10850.419163999999</v>
      </c>
      <c r="E12" s="186">
        <v>39</v>
      </c>
      <c r="F12" s="186">
        <v>278.21589999999998</v>
      </c>
      <c r="G12" s="186">
        <v>3345.4</v>
      </c>
      <c r="H12" s="186">
        <v>548.4</v>
      </c>
      <c r="I12" s="186">
        <v>272.79999999999995</v>
      </c>
      <c r="J12" s="186">
        <v>1039.3</v>
      </c>
      <c r="K12" s="186">
        <v>1.0212909563589401</v>
      </c>
      <c r="L12" s="186">
        <v>0.99125447057499405</v>
      </c>
      <c r="M12" s="186">
        <v>0.971689266401215</v>
      </c>
      <c r="N12" s="203">
        <f t="shared" si="0"/>
        <v>0.98147186848810453</v>
      </c>
      <c r="O12" s="186" t="s">
        <v>634</v>
      </c>
      <c r="P12" s="186">
        <v>0</v>
      </c>
      <c r="Q12" s="186">
        <v>0</v>
      </c>
      <c r="R12" s="186">
        <v>100</v>
      </c>
      <c r="S12" s="186">
        <v>100</v>
      </c>
    </row>
    <row r="13" spans="1:19" x14ac:dyDescent="0.25">
      <c r="A13" s="186" t="s">
        <v>594</v>
      </c>
      <c r="B13" s="186" t="s">
        <v>593</v>
      </c>
      <c r="C13" s="186" t="s">
        <v>592</v>
      </c>
      <c r="D13" s="186">
        <v>2896.2910184300003</v>
      </c>
      <c r="E13" s="186">
        <v>77.470001220703097</v>
      </c>
      <c r="F13" s="186">
        <v>37.38597</v>
      </c>
      <c r="G13" s="186">
        <v>687.74800000000005</v>
      </c>
      <c r="H13" s="186">
        <v>107.598</v>
      </c>
      <c r="I13" s="186">
        <v>59.673999999999999</v>
      </c>
      <c r="J13" s="186">
        <v>208.91</v>
      </c>
      <c r="K13" s="186">
        <v>0.88603733118775796</v>
      </c>
      <c r="L13" s="186">
        <v>0.90455993216353003</v>
      </c>
      <c r="M13" s="186">
        <v>0.86697167650316198</v>
      </c>
      <c r="N13" s="203">
        <f t="shared" si="0"/>
        <v>0.88576580433334606</v>
      </c>
      <c r="O13" s="186" t="s">
        <v>634</v>
      </c>
      <c r="P13" s="186">
        <v>0</v>
      </c>
      <c r="Q13" s="186">
        <v>0</v>
      </c>
      <c r="R13" s="186">
        <v>100</v>
      </c>
      <c r="S13" s="186">
        <v>100</v>
      </c>
    </row>
    <row r="14" spans="1:19" x14ac:dyDescent="0.25">
      <c r="A14" s="186" t="s">
        <v>591</v>
      </c>
      <c r="B14" s="186" t="s">
        <v>590</v>
      </c>
      <c r="C14" s="186" t="s">
        <v>589</v>
      </c>
      <c r="D14" s="186">
        <v>1031.9670896499999</v>
      </c>
      <c r="E14" s="186">
        <v>82.849998474121094</v>
      </c>
      <c r="F14" s="186">
        <v>12.45585</v>
      </c>
      <c r="G14" s="186">
        <v>0</v>
      </c>
      <c r="H14" s="186">
        <v>141.952</v>
      </c>
      <c r="I14" s="186">
        <v>11.273</v>
      </c>
      <c r="J14" s="186">
        <v>77.649000000000001</v>
      </c>
      <c r="K14" s="186">
        <v>0.92122422420400096</v>
      </c>
      <c r="L14" s="186">
        <v>0.91208653850066201</v>
      </c>
      <c r="M14" s="186">
        <v>0.83148710163613204</v>
      </c>
      <c r="N14" s="203">
        <f t="shared" si="0"/>
        <v>0.87178682006839703</v>
      </c>
      <c r="O14" s="186">
        <v>0.4</v>
      </c>
      <c r="P14" s="186">
        <v>49.067562103271499</v>
      </c>
      <c r="Q14" s="186">
        <v>40.907066345214801</v>
      </c>
      <c r="R14" s="186">
        <v>50.932437896728501</v>
      </c>
      <c r="S14" s="186">
        <v>59.092933654785199</v>
      </c>
    </row>
    <row r="15" spans="1:19" x14ac:dyDescent="0.25">
      <c r="A15" s="186" t="s">
        <v>588</v>
      </c>
      <c r="B15" s="186" t="s">
        <v>587</v>
      </c>
      <c r="C15" s="186" t="s">
        <v>586</v>
      </c>
      <c r="D15" s="186">
        <v>2954.0385836800001</v>
      </c>
      <c r="E15" s="186">
        <v>23.680000305175799</v>
      </c>
      <c r="F15" s="186">
        <v>124.7483</v>
      </c>
      <c r="G15" s="186">
        <v>1937.3</v>
      </c>
      <c r="H15" s="186">
        <v>132.1</v>
      </c>
      <c r="I15" s="186">
        <v>66.5</v>
      </c>
      <c r="J15" s="186">
        <v>388.29999999999995</v>
      </c>
      <c r="K15" s="186">
        <v>1.21032851301925</v>
      </c>
      <c r="M15" s="186">
        <v>1.0239408328379001</v>
      </c>
      <c r="N15" s="203">
        <f t="shared" si="0"/>
        <v>1.0239408328379001</v>
      </c>
      <c r="O15" s="186" t="s">
        <v>634</v>
      </c>
      <c r="P15" s="186">
        <v>0</v>
      </c>
      <c r="Q15" s="186">
        <v>0</v>
      </c>
      <c r="R15" s="186">
        <v>100</v>
      </c>
      <c r="S15" s="186">
        <v>100</v>
      </c>
    </row>
    <row r="16" spans="1:19" x14ac:dyDescent="0.25">
      <c r="A16" s="186" t="s">
        <v>585</v>
      </c>
      <c r="B16" s="186" t="s">
        <v>584</v>
      </c>
      <c r="C16" s="186" t="s">
        <v>583</v>
      </c>
      <c r="D16" s="186">
        <v>8427.4544403399996</v>
      </c>
      <c r="E16" s="186">
        <v>90.220001220703097</v>
      </c>
      <c r="F16" s="186">
        <v>93.410049999999998</v>
      </c>
      <c r="G16" s="186">
        <v>667.1</v>
      </c>
      <c r="H16" s="186">
        <v>843.5</v>
      </c>
      <c r="I16" s="186">
        <v>209.82900000000001</v>
      </c>
      <c r="J16" s="186">
        <v>684.8</v>
      </c>
      <c r="K16" s="186">
        <v>0.95588768500034305</v>
      </c>
      <c r="L16" s="186">
        <v>0.97084177640510305</v>
      </c>
      <c r="M16" s="186">
        <v>0.97888113325139203</v>
      </c>
      <c r="N16" s="203">
        <f t="shared" si="0"/>
        <v>0.97486145482824749</v>
      </c>
      <c r="O16" s="186" t="s">
        <v>634</v>
      </c>
      <c r="P16" s="186">
        <v>0</v>
      </c>
      <c r="Q16" s="186">
        <v>0</v>
      </c>
      <c r="R16" s="186">
        <v>100</v>
      </c>
      <c r="S16" s="186">
        <v>100</v>
      </c>
    </row>
    <row r="20" spans="2:26" ht="13" thickBot="1" x14ac:dyDescent="0.3">
      <c r="B20" s="186" t="s">
        <v>678</v>
      </c>
    </row>
    <row r="21" spans="2:26" s="202" customFormat="1" ht="13.5" thickBot="1" x14ac:dyDescent="0.35">
      <c r="B21" s="226" t="s">
        <v>664</v>
      </c>
      <c r="C21" s="227" t="s">
        <v>665</v>
      </c>
      <c r="D21" s="227" t="s">
        <v>188</v>
      </c>
      <c r="E21" s="227" t="s">
        <v>666</v>
      </c>
      <c r="F21" s="227" t="s">
        <v>667</v>
      </c>
      <c r="G21" s="227" t="s">
        <v>668</v>
      </c>
      <c r="H21" s="227" t="s">
        <v>457</v>
      </c>
      <c r="I21" s="227" t="s">
        <v>139</v>
      </c>
      <c r="J21" s="227" t="s">
        <v>669</v>
      </c>
      <c r="K21" s="228" t="s">
        <v>670</v>
      </c>
    </row>
    <row r="22" spans="2:26" ht="13.5" thickBot="1" x14ac:dyDescent="0.35">
      <c r="B22" s="221" t="s">
        <v>614</v>
      </c>
      <c r="C22" s="222">
        <v>90</v>
      </c>
      <c r="D22" s="223">
        <f t="shared" ref="D22:D31" si="1">F6*1000000</f>
        <v>79689399.999999985</v>
      </c>
      <c r="E22" s="207">
        <f>C22*D22</f>
        <v>7172045999.999999</v>
      </c>
      <c r="F22" s="224">
        <f>G6*1000000</f>
        <v>0</v>
      </c>
      <c r="G22" s="224">
        <f>H6*1000000</f>
        <v>419948000</v>
      </c>
      <c r="H22" s="208">
        <f>E22+F22-G22</f>
        <v>6752097999.999999</v>
      </c>
      <c r="I22" s="224">
        <f>I6*1000000</f>
        <v>68980000</v>
      </c>
      <c r="J22" s="208">
        <f>H22/I22</f>
        <v>97.884865178312538</v>
      </c>
      <c r="K22" s="225">
        <f>N6</f>
        <v>1.12346796397671</v>
      </c>
    </row>
    <row r="23" spans="2:26" ht="13.5" thickBot="1" x14ac:dyDescent="0.35">
      <c r="B23" s="209" t="s">
        <v>611</v>
      </c>
      <c r="C23" s="210">
        <f t="shared" ref="C23:C31" si="2">E7</f>
        <v>58.080001831054702</v>
      </c>
      <c r="D23" s="211">
        <f t="shared" si="1"/>
        <v>230880499.99999997</v>
      </c>
      <c r="E23" s="212">
        <f t="shared" ref="E23:E32" si="3">C23*D23</f>
        <v>13409539862.754824</v>
      </c>
      <c r="F23" s="213">
        <f t="shared" ref="F23:F32" si="4">G7*1000000</f>
        <v>1586200000</v>
      </c>
      <c r="G23" s="213">
        <f t="shared" ref="G23:G32" si="5">H7*1000000</f>
        <v>330700000</v>
      </c>
      <c r="H23" s="214">
        <f t="shared" ref="H23:H32" si="6">E23+F23-G23</f>
        <v>14665039862.754824</v>
      </c>
      <c r="I23" s="213">
        <f t="shared" ref="I23:I32" si="7">I7*1000000</f>
        <v>229000000</v>
      </c>
      <c r="J23" s="214">
        <f t="shared" ref="J23:J32" si="8">H23/I23</f>
        <v>64.039475383208838</v>
      </c>
      <c r="K23" s="215">
        <f t="shared" ref="K23:K32" si="9">N7</f>
        <v>0.92585600034221049</v>
      </c>
    </row>
    <row r="24" spans="2:26" ht="13.5" thickBot="1" x14ac:dyDescent="0.35">
      <c r="B24" s="209" t="s">
        <v>608</v>
      </c>
      <c r="C24" s="210">
        <f t="shared" si="2"/>
        <v>64.930000305175795</v>
      </c>
      <c r="D24" s="211">
        <f t="shared" si="1"/>
        <v>20260690</v>
      </c>
      <c r="E24" s="212">
        <f t="shared" si="3"/>
        <v>1315526607.8830721</v>
      </c>
      <c r="F24" s="213">
        <f t="shared" si="4"/>
        <v>80000</v>
      </c>
      <c r="G24" s="213">
        <f t="shared" si="5"/>
        <v>86009000</v>
      </c>
      <c r="H24" s="214">
        <f t="shared" si="6"/>
        <v>1229597607.8830721</v>
      </c>
      <c r="I24" s="213">
        <f t="shared" si="7"/>
        <v>8741000</v>
      </c>
      <c r="J24" s="214">
        <f t="shared" si="8"/>
        <v>140.67013017767673</v>
      </c>
      <c r="K24" s="215">
        <f t="shared" si="9"/>
        <v>0.95475525829389196</v>
      </c>
      <c r="S24" s="276" t="s">
        <v>683</v>
      </c>
      <c r="T24" s="277">
        <f>MAX(R41:V45)</f>
        <v>73.549098148561811</v>
      </c>
    </row>
    <row r="25" spans="2:26" ht="13" x14ac:dyDescent="0.3">
      <c r="B25" s="209" t="s">
        <v>605</v>
      </c>
      <c r="C25" s="210">
        <f t="shared" si="2"/>
        <v>490.5</v>
      </c>
      <c r="D25" s="211">
        <f t="shared" si="1"/>
        <v>1824280</v>
      </c>
      <c r="E25" s="212">
        <f t="shared" si="3"/>
        <v>894809340</v>
      </c>
      <c r="F25" s="213">
        <f t="shared" si="4"/>
        <v>0</v>
      </c>
      <c r="G25" s="213">
        <f t="shared" si="5"/>
        <v>23747000</v>
      </c>
      <c r="H25" s="214">
        <f t="shared" si="6"/>
        <v>871062340</v>
      </c>
      <c r="I25" s="213">
        <f t="shared" si="7"/>
        <v>13189000</v>
      </c>
      <c r="J25" s="214">
        <f t="shared" si="8"/>
        <v>66.04460838577603</v>
      </c>
      <c r="K25" s="215">
        <f t="shared" si="9"/>
        <v>0.72304455068372797</v>
      </c>
      <c r="S25" s="186" t="s">
        <v>684</v>
      </c>
      <c r="T25" s="186">
        <f>MIN(R41:V45)</f>
        <v>45.368275103087747</v>
      </c>
    </row>
    <row r="26" spans="2:26" ht="13" x14ac:dyDescent="0.3">
      <c r="B26" s="209" t="s">
        <v>602</v>
      </c>
      <c r="C26" s="210">
        <f t="shared" si="2"/>
        <v>38.159999847412102</v>
      </c>
      <c r="D26" s="211">
        <f t="shared" si="1"/>
        <v>46674180</v>
      </c>
      <c r="E26" s="212">
        <f t="shared" si="3"/>
        <v>1781086701.6780851</v>
      </c>
      <c r="F26" s="213">
        <f t="shared" si="4"/>
        <v>589400000</v>
      </c>
      <c r="G26" s="213">
        <f t="shared" si="5"/>
        <v>86700000</v>
      </c>
      <c r="H26" s="214">
        <f t="shared" si="6"/>
        <v>2283786701.6780853</v>
      </c>
      <c r="I26" s="213">
        <f t="shared" si="7"/>
        <v>56700000</v>
      </c>
      <c r="J26" s="214">
        <f t="shared" si="8"/>
        <v>40.278425073687572</v>
      </c>
      <c r="K26" s="215">
        <f t="shared" si="9"/>
        <v>1.0748349256906</v>
      </c>
      <c r="S26" s="186" t="s">
        <v>671</v>
      </c>
      <c r="T26" s="186">
        <f>AVERAGE(R41:V45)</f>
        <v>58.4483977141251</v>
      </c>
    </row>
    <row r="27" spans="2:26" ht="13" x14ac:dyDescent="0.3">
      <c r="B27" s="209" t="s">
        <v>599</v>
      </c>
      <c r="C27" s="210">
        <f t="shared" si="2"/>
        <v>154.42999267578099</v>
      </c>
      <c r="D27" s="211">
        <f t="shared" si="1"/>
        <v>44053239.999999993</v>
      </c>
      <c r="E27" s="212">
        <f t="shared" si="3"/>
        <v>6803141530.5444212</v>
      </c>
      <c r="F27" s="213">
        <f t="shared" si="4"/>
        <v>1031862000.0000001</v>
      </c>
      <c r="G27" s="213">
        <f t="shared" si="5"/>
        <v>499459000</v>
      </c>
      <c r="H27" s="214">
        <f t="shared" si="6"/>
        <v>7335544530.5444212</v>
      </c>
      <c r="I27" s="213">
        <f t="shared" si="7"/>
        <v>121466000</v>
      </c>
      <c r="J27" s="214">
        <f t="shared" si="8"/>
        <v>60.391751852735922</v>
      </c>
      <c r="K27" s="215">
        <f t="shared" si="9"/>
        <v>0.84273036665889201</v>
      </c>
    </row>
    <row r="28" spans="2:26" ht="13.5" thickBot="1" x14ac:dyDescent="0.35">
      <c r="B28" s="209" t="s">
        <v>596</v>
      </c>
      <c r="C28" s="210">
        <f t="shared" si="2"/>
        <v>39</v>
      </c>
      <c r="D28" s="211">
        <f t="shared" si="1"/>
        <v>278215900</v>
      </c>
      <c r="E28" s="212">
        <f t="shared" si="3"/>
        <v>10850420100</v>
      </c>
      <c r="F28" s="213">
        <f t="shared" si="4"/>
        <v>3345400000</v>
      </c>
      <c r="G28" s="213">
        <f t="shared" si="5"/>
        <v>548400000</v>
      </c>
      <c r="H28" s="214">
        <f t="shared" si="6"/>
        <v>13647420100</v>
      </c>
      <c r="I28" s="213">
        <f t="shared" si="7"/>
        <v>272799999.99999994</v>
      </c>
      <c r="J28" s="214">
        <f t="shared" si="8"/>
        <v>50.027199780058659</v>
      </c>
      <c r="K28" s="215">
        <f t="shared" si="9"/>
        <v>0.98147186848810453</v>
      </c>
      <c r="Z28" s="186" t="s">
        <v>685</v>
      </c>
    </row>
    <row r="29" spans="2:26" ht="13.5" thickBot="1" x14ac:dyDescent="0.35">
      <c r="B29" s="209" t="s">
        <v>593</v>
      </c>
      <c r="C29" s="210">
        <f t="shared" si="2"/>
        <v>77.470001220703097</v>
      </c>
      <c r="D29" s="211">
        <f t="shared" si="1"/>
        <v>37385970</v>
      </c>
      <c r="E29" s="212">
        <f t="shared" si="3"/>
        <v>2896291141.5371695</v>
      </c>
      <c r="F29" s="213">
        <f t="shared" si="4"/>
        <v>687748000</v>
      </c>
      <c r="G29" s="213">
        <f t="shared" si="5"/>
        <v>107598000</v>
      </c>
      <c r="H29" s="214">
        <f t="shared" si="6"/>
        <v>3476441141.5371695</v>
      </c>
      <c r="I29" s="213">
        <f t="shared" si="7"/>
        <v>59674000</v>
      </c>
      <c r="J29" s="214">
        <f t="shared" si="8"/>
        <v>58.257216568977604</v>
      </c>
      <c r="K29" s="215">
        <f t="shared" si="9"/>
        <v>0.88576580433334606</v>
      </c>
      <c r="N29" s="261">
        <f>J43</f>
        <v>58.240560208135264</v>
      </c>
      <c r="O29" s="259">
        <f t="shared" ref="O29:R29" si="10">P29-2</f>
        <v>51.19</v>
      </c>
      <c r="P29" s="259">
        <f t="shared" si="10"/>
        <v>53.19</v>
      </c>
      <c r="Q29" s="259">
        <f t="shared" si="10"/>
        <v>55.19</v>
      </c>
      <c r="R29" s="262">
        <f t="shared" si="10"/>
        <v>57.19</v>
      </c>
      <c r="S29" s="262">
        <f>T29-2</f>
        <v>59.19</v>
      </c>
      <c r="T29" s="262">
        <v>61.19</v>
      </c>
      <c r="U29" s="262">
        <f>T29+2</f>
        <v>63.19</v>
      </c>
      <c r="V29" s="262">
        <f t="shared" ref="V29:Z29" si="11">U29+2</f>
        <v>65.19</v>
      </c>
      <c r="W29" s="259">
        <f t="shared" si="11"/>
        <v>67.19</v>
      </c>
      <c r="X29" s="259">
        <f t="shared" si="11"/>
        <v>69.19</v>
      </c>
      <c r="Y29" s="259">
        <f t="shared" si="11"/>
        <v>71.19</v>
      </c>
      <c r="Z29" s="260">
        <f t="shared" si="11"/>
        <v>73.19</v>
      </c>
    </row>
    <row r="30" spans="2:26" ht="13" x14ac:dyDescent="0.3">
      <c r="B30" s="209" t="s">
        <v>590</v>
      </c>
      <c r="C30" s="210">
        <f t="shared" si="2"/>
        <v>82.849998474121094</v>
      </c>
      <c r="D30" s="211">
        <f t="shared" si="1"/>
        <v>12455850</v>
      </c>
      <c r="E30" s="212">
        <f t="shared" si="3"/>
        <v>1031967153.4938812</v>
      </c>
      <c r="F30" s="213">
        <f t="shared" si="4"/>
        <v>0</v>
      </c>
      <c r="G30" s="213">
        <f t="shared" si="5"/>
        <v>141952000</v>
      </c>
      <c r="H30" s="214">
        <f t="shared" si="6"/>
        <v>890015153.49388123</v>
      </c>
      <c r="I30" s="213">
        <f t="shared" si="7"/>
        <v>11273000</v>
      </c>
      <c r="J30" s="214">
        <f t="shared" si="8"/>
        <v>78.951047058802558</v>
      </c>
      <c r="K30" s="215">
        <f t="shared" si="9"/>
        <v>0.87178682006839703</v>
      </c>
      <c r="N30" s="264">
        <f t="shared" ref="N30:N41" si="12">N31*(1-10%)</f>
        <v>17533790.48381345</v>
      </c>
      <c r="O30" s="186">
        <f t="dataTable" ref="O30:Z59" dt2D="1" dtr="1" r1="J35" r2="J37"/>
        <v>16.53297345527022</v>
      </c>
      <c r="P30" s="186">
        <v>16.973026724182105</v>
      </c>
      <c r="Q30" s="186">
        <v>17.413079993093994</v>
      </c>
      <c r="R30" s="263">
        <v>17.85313326200588</v>
      </c>
      <c r="S30" s="263">
        <v>18.293186530917765</v>
      </c>
      <c r="T30" s="263">
        <v>18.733239799829654</v>
      </c>
      <c r="U30" s="263">
        <v>19.17329306874154</v>
      </c>
      <c r="V30" s="263">
        <v>19.613346337653425</v>
      </c>
      <c r="W30" s="186">
        <v>20.053399606565314</v>
      </c>
      <c r="X30" s="186">
        <v>20.4934528754772</v>
      </c>
      <c r="Y30" s="186">
        <v>20.933506144389089</v>
      </c>
      <c r="Z30" s="217">
        <v>21.373559413300974</v>
      </c>
    </row>
    <row r="31" spans="2:26" ht="13" x14ac:dyDescent="0.3">
      <c r="B31" s="209" t="s">
        <v>587</v>
      </c>
      <c r="C31" s="210">
        <f t="shared" si="2"/>
        <v>23.680000305175799</v>
      </c>
      <c r="D31" s="211">
        <f t="shared" si="1"/>
        <v>124748300</v>
      </c>
      <c r="E31" s="212">
        <f t="shared" si="3"/>
        <v>2954039782.0701623</v>
      </c>
      <c r="F31" s="213">
        <f t="shared" si="4"/>
        <v>1937300000</v>
      </c>
      <c r="G31" s="213">
        <f t="shared" si="5"/>
        <v>132100000</v>
      </c>
      <c r="H31" s="214">
        <f t="shared" si="6"/>
        <v>4759239782.0701618</v>
      </c>
      <c r="I31" s="213">
        <f t="shared" si="7"/>
        <v>66500000</v>
      </c>
      <c r="J31" s="214">
        <f t="shared" si="8"/>
        <v>71.567515519852051</v>
      </c>
      <c r="K31" s="215">
        <f t="shared" si="9"/>
        <v>1.0239408328379001</v>
      </c>
      <c r="N31" s="264">
        <f t="shared" si="12"/>
        <v>19481989.426459387</v>
      </c>
      <c r="O31" s="186">
        <v>17.784436057247969</v>
      </c>
      <c r="P31" s="186">
        <v>18.27338413381673</v>
      </c>
      <c r="Q31" s="186">
        <v>18.762332210385495</v>
      </c>
      <c r="R31" s="263">
        <v>19.251280286954255</v>
      </c>
      <c r="S31" s="263">
        <v>19.74022836352302</v>
      </c>
      <c r="T31" s="263">
        <v>20.229176440091784</v>
      </c>
      <c r="U31" s="263">
        <v>20.718124516660545</v>
      </c>
      <c r="V31" s="263">
        <v>21.207072593229309</v>
      </c>
      <c r="W31" s="186">
        <v>21.69602066979807</v>
      </c>
      <c r="X31" s="186">
        <v>22.184968746366835</v>
      </c>
      <c r="Y31" s="186">
        <v>22.673916822935599</v>
      </c>
      <c r="Z31" s="217">
        <v>23.16286489950436</v>
      </c>
    </row>
    <row r="32" spans="2:26" ht="13" x14ac:dyDescent="0.3">
      <c r="B32" s="209" t="s">
        <v>584</v>
      </c>
      <c r="C32" s="210">
        <f>E16</f>
        <v>90.220001220703097</v>
      </c>
      <c r="D32" s="211">
        <f>F16*1000000</f>
        <v>93410050</v>
      </c>
      <c r="E32" s="212">
        <f t="shared" si="3"/>
        <v>8427454825.0259371</v>
      </c>
      <c r="F32" s="213">
        <f t="shared" si="4"/>
        <v>667100000</v>
      </c>
      <c r="G32" s="213">
        <f t="shared" si="5"/>
        <v>843500000</v>
      </c>
      <c r="H32" s="214">
        <f t="shared" si="6"/>
        <v>8251054825.0259361</v>
      </c>
      <c r="I32" s="213">
        <f t="shared" si="7"/>
        <v>209829000</v>
      </c>
      <c r="J32" s="214">
        <f t="shared" si="8"/>
        <v>39.322757221480046</v>
      </c>
      <c r="K32" s="215">
        <f t="shared" si="9"/>
        <v>0.97486145482824749</v>
      </c>
      <c r="N32" s="264">
        <f t="shared" si="12"/>
        <v>21646654.918288209</v>
      </c>
      <c r="O32" s="186">
        <v>19.174950059445468</v>
      </c>
      <c r="P32" s="186">
        <v>19.718225700077426</v>
      </c>
      <c r="Q32" s="186">
        <v>20.261501340709387</v>
      </c>
      <c r="R32" s="263">
        <v>20.804776981341345</v>
      </c>
      <c r="S32" s="263">
        <v>21.348052621973302</v>
      </c>
      <c r="T32" s="263">
        <v>21.89132826260526</v>
      </c>
      <c r="U32" s="263">
        <v>22.434603903237221</v>
      </c>
      <c r="V32" s="263">
        <v>22.977879543869179</v>
      </c>
      <c r="W32" s="186">
        <v>23.52115518450114</v>
      </c>
      <c r="X32" s="186">
        <v>24.064430825133098</v>
      </c>
      <c r="Y32" s="186">
        <v>24.607706465765055</v>
      </c>
      <c r="Z32" s="217">
        <v>25.150982106397016</v>
      </c>
    </row>
    <row r="33" spans="2:26" ht="13" thickBot="1" x14ac:dyDescent="0.3">
      <c r="B33" s="216"/>
      <c r="K33" s="217"/>
      <c r="N33" s="264">
        <f t="shared" si="12"/>
        <v>24051838.798098009</v>
      </c>
      <c r="O33" s="186">
        <v>20.719965617442686</v>
      </c>
      <c r="P33" s="186">
        <v>21.323605218144866</v>
      </c>
      <c r="Q33" s="186">
        <v>21.92724481884704</v>
      </c>
      <c r="R33" s="263">
        <v>22.530884419549217</v>
      </c>
      <c r="S33" s="263">
        <v>23.134524020251394</v>
      </c>
      <c r="T33" s="263">
        <v>23.738163620953571</v>
      </c>
      <c r="U33" s="263">
        <v>24.341803221655745</v>
      </c>
      <c r="V33" s="263">
        <v>24.945442822357926</v>
      </c>
      <c r="W33" s="186">
        <v>25.549082423060099</v>
      </c>
      <c r="X33" s="186">
        <v>26.152722023762276</v>
      </c>
      <c r="Y33" s="186">
        <v>26.756361624464454</v>
      </c>
      <c r="Z33" s="217">
        <v>27.360001225166631</v>
      </c>
    </row>
    <row r="34" spans="2:26" x14ac:dyDescent="0.25">
      <c r="B34" s="216"/>
      <c r="I34" s="229" t="s">
        <v>672</v>
      </c>
      <c r="J34" s="230">
        <f>AVERAGE(J23:J32)</f>
        <v>66.955012702225602</v>
      </c>
      <c r="K34" s="215">
        <f>AVERAGE(K22:K32)</f>
        <v>0.94386507692745691</v>
      </c>
      <c r="N34" s="264">
        <f t="shared" si="12"/>
        <v>26724265.331220008</v>
      </c>
      <c r="O34" s="186">
        <v>22.436649570772932</v>
      </c>
      <c r="P34" s="186">
        <v>23.107360238219794</v>
      </c>
      <c r="Q34" s="186">
        <v>23.778070905666659</v>
      </c>
      <c r="R34" s="263">
        <v>24.448781573113518</v>
      </c>
      <c r="S34" s="263">
        <v>25.119492240560383</v>
      </c>
      <c r="T34" s="263">
        <v>25.790202908007245</v>
      </c>
      <c r="U34" s="263">
        <v>26.460913575454111</v>
      </c>
      <c r="V34" s="263">
        <v>27.131624242900969</v>
      </c>
      <c r="W34" s="186">
        <v>27.802334910347835</v>
      </c>
      <c r="X34" s="186">
        <v>28.473045577794696</v>
      </c>
      <c r="Y34" s="186">
        <v>29.143756245241558</v>
      </c>
      <c r="Z34" s="217">
        <v>29.814466912688424</v>
      </c>
    </row>
    <row r="35" spans="2:26" ht="13" thickBot="1" x14ac:dyDescent="0.3">
      <c r="B35" s="216"/>
      <c r="I35" s="218" t="s">
        <v>673</v>
      </c>
      <c r="J35" s="233">
        <f>(SUM(J23:J32)-MAX(J23:J32)-MIN(J23:J32))/(COUNT(J23:J32)-2)</f>
        <v>61.194654952887404</v>
      </c>
      <c r="K35" s="217"/>
      <c r="N35" s="264">
        <f t="shared" si="12"/>
        <v>29693628.145800009</v>
      </c>
      <c r="O35" s="186">
        <v>24.344076185584314</v>
      </c>
      <c r="P35" s="186">
        <v>25.089310260525274</v>
      </c>
      <c r="Q35" s="186">
        <v>25.834544335466234</v>
      </c>
      <c r="R35" s="263">
        <v>26.579778410407194</v>
      </c>
      <c r="S35" s="263">
        <v>27.32501248534815</v>
      </c>
      <c r="T35" s="263">
        <v>28.070246560289114</v>
      </c>
      <c r="U35" s="263">
        <v>28.815480635230067</v>
      </c>
      <c r="V35" s="263">
        <v>29.560714710171023</v>
      </c>
      <c r="W35" s="186">
        <v>30.305948785111983</v>
      </c>
      <c r="X35" s="186">
        <v>31.051182860052947</v>
      </c>
      <c r="Y35" s="186">
        <v>31.796416934993907</v>
      </c>
      <c r="Z35" s="217">
        <v>32.54165100993486</v>
      </c>
    </row>
    <row r="36" spans="2:26" ht="13" thickBot="1" x14ac:dyDescent="0.3">
      <c r="B36" s="216"/>
      <c r="K36" s="217"/>
      <c r="N36" s="264">
        <f t="shared" si="12"/>
        <v>32992920.162000008</v>
      </c>
      <c r="O36" s="186">
        <v>26.463439090930297</v>
      </c>
      <c r="P36" s="186">
        <v>27.291476951975806</v>
      </c>
      <c r="Q36" s="186">
        <v>28.119514813021315</v>
      </c>
      <c r="R36" s="263">
        <v>28.947552674066824</v>
      </c>
      <c r="S36" s="263">
        <v>29.775590535112336</v>
      </c>
      <c r="T36" s="263">
        <v>30.603628396157845</v>
      </c>
      <c r="U36" s="263">
        <v>31.431666257203354</v>
      </c>
      <c r="V36" s="263">
        <v>32.259704118248862</v>
      </c>
      <c r="W36" s="186">
        <v>33.087741979294371</v>
      </c>
      <c r="X36" s="186">
        <v>33.91577984033988</v>
      </c>
      <c r="Y36" s="186">
        <v>34.743817701385389</v>
      </c>
      <c r="Z36" s="217">
        <v>35.571855562430905</v>
      </c>
    </row>
    <row r="37" spans="2:26" x14ac:dyDescent="0.25">
      <c r="B37" s="216"/>
      <c r="I37" s="229" t="s">
        <v>139</v>
      </c>
      <c r="J37" s="230">
        <f>I22</f>
        <v>68980000</v>
      </c>
      <c r="K37" s="217"/>
      <c r="N37" s="264">
        <f t="shared" si="12"/>
        <v>36658800.180000007</v>
      </c>
      <c r="O37" s="186">
        <v>28.818286763536939</v>
      </c>
      <c r="P37" s="186">
        <v>29.73832883136529</v>
      </c>
      <c r="Q37" s="186">
        <v>30.658370899193628</v>
      </c>
      <c r="R37" s="263">
        <v>31.578412967021976</v>
      </c>
      <c r="S37" s="263">
        <v>32.498455034850316</v>
      </c>
      <c r="T37" s="263">
        <v>33.418497102678657</v>
      </c>
      <c r="U37" s="263">
        <v>34.338539170507005</v>
      </c>
      <c r="V37" s="263">
        <v>35.258581238335353</v>
      </c>
      <c r="W37" s="186">
        <v>36.178623306163693</v>
      </c>
      <c r="X37" s="186">
        <v>37.098665373992034</v>
      </c>
      <c r="Y37" s="186">
        <v>38.018707441820382</v>
      </c>
      <c r="Z37" s="217">
        <v>38.938749509648723</v>
      </c>
    </row>
    <row r="38" spans="2:26" x14ac:dyDescent="0.25">
      <c r="B38" s="216"/>
      <c r="I38" s="216" t="s">
        <v>674</v>
      </c>
      <c r="J38" s="231">
        <f>J37*J35</f>
        <v>4221207298.6501732</v>
      </c>
      <c r="K38" s="217"/>
      <c r="N38" s="264">
        <f t="shared" si="12"/>
        <v>40732000.200000003</v>
      </c>
      <c r="O38" s="186">
        <v>31.434784177544319</v>
      </c>
      <c r="P38" s="186">
        <v>32.457053141798035</v>
      </c>
      <c r="Q38" s="186">
        <v>33.479322106051754</v>
      </c>
      <c r="R38" s="263">
        <v>34.501591070305473</v>
      </c>
      <c r="S38" s="263">
        <v>35.523860034559185</v>
      </c>
      <c r="T38" s="263">
        <v>36.546128998812897</v>
      </c>
      <c r="U38" s="263">
        <v>37.568397963066616</v>
      </c>
      <c r="V38" s="263">
        <v>38.590666927320328</v>
      </c>
      <c r="W38" s="186">
        <v>39.612935891574047</v>
      </c>
      <c r="X38" s="186">
        <v>40.635204855827766</v>
      </c>
      <c r="Y38" s="186">
        <v>41.657473820081471</v>
      </c>
      <c r="Z38" s="217">
        <v>42.67974278433519</v>
      </c>
    </row>
    <row r="39" spans="2:26" x14ac:dyDescent="0.25">
      <c r="B39" s="216"/>
      <c r="I39" s="216" t="s">
        <v>667</v>
      </c>
      <c r="J39" s="232">
        <f>F22</f>
        <v>0</v>
      </c>
      <c r="K39" s="217"/>
      <c r="N39" s="264">
        <f t="shared" si="12"/>
        <v>45257778</v>
      </c>
      <c r="O39" s="186">
        <v>34.34200352644141</v>
      </c>
      <c r="P39" s="186">
        <v>35.477857931167762</v>
      </c>
      <c r="Q39" s="186">
        <v>36.613712335894114</v>
      </c>
      <c r="R39" s="263">
        <v>37.749566740620459</v>
      </c>
      <c r="S39" s="263">
        <v>38.885421145346811</v>
      </c>
      <c r="T39" s="263">
        <v>40.021275550073163</v>
      </c>
      <c r="U39" s="263">
        <v>41.157129954799515</v>
      </c>
      <c r="V39" s="263">
        <v>42.29298435952586</v>
      </c>
      <c r="W39" s="186">
        <v>43.428838764252212</v>
      </c>
      <c r="X39" s="186">
        <v>44.564693168978565</v>
      </c>
      <c r="Y39" s="186">
        <v>45.700547573704917</v>
      </c>
      <c r="Z39" s="217">
        <v>46.836401978431262</v>
      </c>
    </row>
    <row r="40" spans="2:26" ht="13" thickBot="1" x14ac:dyDescent="0.3">
      <c r="B40" s="216"/>
      <c r="I40" s="216" t="s">
        <v>668</v>
      </c>
      <c r="J40" s="232">
        <f>G22</f>
        <v>419948000</v>
      </c>
      <c r="K40" s="217"/>
      <c r="N40" s="264">
        <f t="shared" si="12"/>
        <v>50286420</v>
      </c>
      <c r="O40" s="186">
        <v>37.572247247438185</v>
      </c>
      <c r="P40" s="186">
        <v>38.834307697134129</v>
      </c>
      <c r="Q40" s="186">
        <v>40.096368146830073</v>
      </c>
      <c r="R40" s="263">
        <v>41.358428596526018</v>
      </c>
      <c r="S40" s="263">
        <v>42.620489046221962</v>
      </c>
      <c r="T40" s="263">
        <v>43.882549495917907</v>
      </c>
      <c r="U40" s="263">
        <v>45.144609945613851</v>
      </c>
      <c r="V40" s="263">
        <v>46.406670395309796</v>
      </c>
      <c r="W40" s="186">
        <v>47.66873084500574</v>
      </c>
      <c r="X40" s="186">
        <v>48.930791294701685</v>
      </c>
      <c r="Y40" s="186">
        <v>50.192851744397629</v>
      </c>
      <c r="Z40" s="217">
        <v>51.454912194093573</v>
      </c>
    </row>
    <row r="41" spans="2:26" x14ac:dyDescent="0.25">
      <c r="B41" s="216"/>
      <c r="I41" s="216" t="s">
        <v>675</v>
      </c>
      <c r="J41" s="232">
        <f>J38-J39+J40</f>
        <v>4641155298.6501732</v>
      </c>
      <c r="K41" s="217"/>
      <c r="N41" s="266">
        <f t="shared" si="12"/>
        <v>55873800</v>
      </c>
      <c r="O41" s="263">
        <v>41.161406937434599</v>
      </c>
      <c r="P41" s="263">
        <v>42.563696325985646</v>
      </c>
      <c r="Q41" s="263">
        <v>43.9659857145367</v>
      </c>
      <c r="R41" s="267">
        <v>45.368275103087747</v>
      </c>
      <c r="S41" s="268">
        <v>46.770564491638794</v>
      </c>
      <c r="T41" s="268">
        <v>48.172853880189848</v>
      </c>
      <c r="U41" s="268">
        <v>49.575143268740895</v>
      </c>
      <c r="V41" s="269">
        <v>50.977432657291942</v>
      </c>
      <c r="W41" s="186">
        <v>52.379722045842996</v>
      </c>
      <c r="X41" s="186">
        <v>53.782011434394043</v>
      </c>
      <c r="Y41" s="186">
        <v>55.184300822945097</v>
      </c>
      <c r="Z41" s="217">
        <v>56.586590211496144</v>
      </c>
    </row>
    <row r="42" spans="2:26" ht="13" thickBot="1" x14ac:dyDescent="0.3">
      <c r="B42" s="216"/>
      <c r="I42" s="216" t="s">
        <v>676</v>
      </c>
      <c r="J42" s="232">
        <f>D22</f>
        <v>79689399.999999985</v>
      </c>
      <c r="K42" s="217"/>
      <c r="N42" s="266">
        <f>N43*(1-10%)</f>
        <v>62082000</v>
      </c>
      <c r="O42" s="263">
        <v>45.149362148541719</v>
      </c>
      <c r="P42" s="263">
        <v>46.707461469153998</v>
      </c>
      <c r="Q42" s="263">
        <v>48.265560789766276</v>
      </c>
      <c r="R42" s="270">
        <v>49.823660110378555</v>
      </c>
      <c r="S42" s="263">
        <v>51.381759430990833</v>
      </c>
      <c r="T42" s="263">
        <v>52.939858751603111</v>
      </c>
      <c r="U42" s="263">
        <v>54.49795807221539</v>
      </c>
      <c r="V42" s="271">
        <v>56.056057392827661</v>
      </c>
      <c r="W42" s="186">
        <v>57.614156713439939</v>
      </c>
      <c r="X42" s="186">
        <v>59.172256034052218</v>
      </c>
      <c r="Y42" s="186">
        <v>60.730355354664496</v>
      </c>
      <c r="Z42" s="217">
        <v>62.288454675276775</v>
      </c>
    </row>
    <row r="43" spans="2:26" ht="13.5" thickBot="1" x14ac:dyDescent="0.35">
      <c r="B43" s="218"/>
      <c r="C43" s="219"/>
      <c r="D43" s="219"/>
      <c r="E43" s="219"/>
      <c r="F43" s="219"/>
      <c r="G43" s="219"/>
      <c r="H43" s="219"/>
      <c r="I43" s="205" t="s">
        <v>677</v>
      </c>
      <c r="J43" s="206">
        <f>J41/J42</f>
        <v>58.240560208135264</v>
      </c>
      <c r="K43" s="220"/>
      <c r="N43" s="266">
        <v>68980000</v>
      </c>
      <c r="O43" s="263">
        <v>49.580423494216305</v>
      </c>
      <c r="P43" s="263">
        <v>51.311644961563282</v>
      </c>
      <c r="Q43" s="263">
        <v>53.042866428910251</v>
      </c>
      <c r="R43" s="270">
        <v>54.774087896257228</v>
      </c>
      <c r="S43" s="263">
        <v>56.505309363604205</v>
      </c>
      <c r="T43" s="275">
        <v>58.236530830951182</v>
      </c>
      <c r="U43" s="263">
        <v>59.967752298298151</v>
      </c>
      <c r="V43" s="271">
        <v>61.698973765645128</v>
      </c>
      <c r="W43" s="186">
        <v>63.430195232992105</v>
      </c>
      <c r="X43" s="186">
        <v>65.161416700339075</v>
      </c>
      <c r="Y43" s="186">
        <v>66.892638167686059</v>
      </c>
      <c r="Z43" s="217">
        <v>68.623859635033028</v>
      </c>
    </row>
    <row r="44" spans="2:26" x14ac:dyDescent="0.25">
      <c r="N44" s="266">
        <f>N43*(1+10%)</f>
        <v>75878000</v>
      </c>
      <c r="O44" s="263">
        <v>54.011484839890883</v>
      </c>
      <c r="P44" s="263">
        <v>55.915828453972559</v>
      </c>
      <c r="Q44" s="263">
        <v>57.820172068054234</v>
      </c>
      <c r="R44" s="270">
        <v>59.724515682135902</v>
      </c>
      <c r="S44" s="263">
        <v>61.628859296217577</v>
      </c>
      <c r="T44" s="263">
        <v>63.533202910299252</v>
      </c>
      <c r="U44" s="263">
        <v>65.43754652438092</v>
      </c>
      <c r="V44" s="271">
        <v>67.341890138462588</v>
      </c>
      <c r="W44" s="186">
        <v>69.246233752544271</v>
      </c>
      <c r="X44" s="186">
        <v>71.150577366625939</v>
      </c>
      <c r="Y44" s="186">
        <v>73.054920980707607</v>
      </c>
      <c r="Z44" s="217">
        <v>74.959264594789289</v>
      </c>
    </row>
    <row r="45" spans="2:26" ht="13" thickBot="1" x14ac:dyDescent="0.3">
      <c r="N45" s="266">
        <f t="shared" ref="N45:N59" si="13">N44*(1+10%)</f>
        <v>83465800</v>
      </c>
      <c r="O45" s="263">
        <v>58.885652320132927</v>
      </c>
      <c r="P45" s="263">
        <v>60.980430295622767</v>
      </c>
      <c r="Q45" s="263">
        <v>63.075208271112608</v>
      </c>
      <c r="R45" s="272">
        <v>65.169986246602448</v>
      </c>
      <c r="S45" s="273">
        <v>67.264764222092282</v>
      </c>
      <c r="T45" s="273">
        <v>69.35954219758213</v>
      </c>
      <c r="U45" s="273">
        <v>71.454320173071963</v>
      </c>
      <c r="V45" s="274">
        <v>73.549098148561811</v>
      </c>
      <c r="W45" s="186">
        <v>75.643876124051644</v>
      </c>
      <c r="X45" s="186">
        <v>77.738654099541478</v>
      </c>
      <c r="Y45" s="186">
        <v>79.833432075031325</v>
      </c>
      <c r="Z45" s="217">
        <v>81.928210050521159</v>
      </c>
    </row>
    <row r="46" spans="2:26" x14ac:dyDescent="0.25">
      <c r="K46" s="258"/>
      <c r="N46" s="264">
        <f t="shared" si="13"/>
        <v>91812380</v>
      </c>
      <c r="O46" s="186">
        <v>64.247236548399172</v>
      </c>
      <c r="P46" s="186">
        <v>66.551492321437991</v>
      </c>
      <c r="Q46" s="186">
        <v>68.855748094476823</v>
      </c>
      <c r="R46" s="186">
        <v>71.160003867515641</v>
      </c>
      <c r="S46" s="186">
        <v>73.464259640554459</v>
      </c>
      <c r="T46" s="186">
        <v>75.768515413593292</v>
      </c>
      <c r="U46" s="186">
        <v>78.07277118663211</v>
      </c>
      <c r="V46" s="186">
        <v>80.377026959670928</v>
      </c>
      <c r="W46" s="186">
        <v>82.681282732709761</v>
      </c>
      <c r="X46" s="186">
        <v>84.985538505748579</v>
      </c>
      <c r="Y46" s="186">
        <v>87.289794278787411</v>
      </c>
      <c r="Z46" s="217">
        <v>89.59405005182623</v>
      </c>
    </row>
    <row r="47" spans="2:26" x14ac:dyDescent="0.25">
      <c r="N47" s="264">
        <f t="shared" si="13"/>
        <v>100993618.00000001</v>
      </c>
      <c r="O47" s="186">
        <v>70.144979199492042</v>
      </c>
      <c r="P47" s="186">
        <v>72.679660549834765</v>
      </c>
      <c r="Q47" s="186">
        <v>75.214341900177459</v>
      </c>
      <c r="R47" s="186">
        <v>77.749023250520167</v>
      </c>
      <c r="S47" s="186">
        <v>80.283704600862876</v>
      </c>
      <c r="T47" s="186">
        <v>82.818385951205585</v>
      </c>
      <c r="U47" s="186">
        <v>85.353067301548293</v>
      </c>
      <c r="V47" s="186">
        <v>87.887748651891002</v>
      </c>
      <c r="W47" s="186">
        <v>90.422430002233696</v>
      </c>
      <c r="X47" s="186">
        <v>92.957111352576405</v>
      </c>
      <c r="Y47" s="186">
        <v>95.491792702919113</v>
      </c>
      <c r="Z47" s="217">
        <v>98.026474053261822</v>
      </c>
    </row>
    <row r="48" spans="2:26" x14ac:dyDescent="0.25">
      <c r="N48" s="264">
        <f t="shared" si="13"/>
        <v>111092979.80000003</v>
      </c>
      <c r="O48" s="186">
        <v>76.632496115694209</v>
      </c>
      <c r="P48" s="186">
        <v>79.420645601071186</v>
      </c>
      <c r="Q48" s="186">
        <v>82.208795086448177</v>
      </c>
      <c r="R48" s="186">
        <v>84.996944571825139</v>
      </c>
      <c r="S48" s="186">
        <v>87.785094057202116</v>
      </c>
      <c r="T48" s="186">
        <v>90.573243542579107</v>
      </c>
      <c r="U48" s="186">
        <v>93.361393027956069</v>
      </c>
      <c r="V48" s="186">
        <v>96.14954251333306</v>
      </c>
      <c r="W48" s="186">
        <v>98.937691998710037</v>
      </c>
      <c r="X48" s="186">
        <v>101.725841484087</v>
      </c>
      <c r="Y48" s="186">
        <v>104.51399096946399</v>
      </c>
      <c r="Z48" s="217">
        <v>107.30214045484097</v>
      </c>
    </row>
    <row r="49" spans="13:26" x14ac:dyDescent="0.25">
      <c r="N49" s="264">
        <f t="shared" si="13"/>
        <v>122202277.78000005</v>
      </c>
      <c r="O49" s="186">
        <v>83.768764723516597</v>
      </c>
      <c r="P49" s="186">
        <v>86.835729157431274</v>
      </c>
      <c r="Q49" s="186">
        <v>89.902693591345951</v>
      </c>
      <c r="R49" s="186">
        <v>92.969658025260614</v>
      </c>
      <c r="S49" s="186">
        <v>96.036622459175291</v>
      </c>
      <c r="T49" s="186">
        <v>99.103586893089982</v>
      </c>
      <c r="U49" s="186">
        <v>102.17055132700465</v>
      </c>
      <c r="V49" s="186">
        <v>105.23751576091932</v>
      </c>
      <c r="W49" s="186">
        <v>108.30448019483401</v>
      </c>
      <c r="X49" s="186">
        <v>111.37144462874866</v>
      </c>
      <c r="Y49" s="186">
        <v>114.43840906266335</v>
      </c>
      <c r="Z49" s="217">
        <v>117.50537349657802</v>
      </c>
    </row>
    <row r="50" spans="13:26" x14ac:dyDescent="0.25">
      <c r="N50" s="264">
        <f t="shared" si="13"/>
        <v>134422505.55800006</v>
      </c>
      <c r="O50" s="186">
        <v>91.618660192121212</v>
      </c>
      <c r="P50" s="186">
        <v>94.992321069427362</v>
      </c>
      <c r="Q50" s="186">
        <v>98.365981946733498</v>
      </c>
      <c r="R50" s="186">
        <v>101.73964282403965</v>
      </c>
      <c r="S50" s="186">
        <v>105.11330370134579</v>
      </c>
      <c r="T50" s="186">
        <v>108.48696457865195</v>
      </c>
      <c r="U50" s="186">
        <v>111.86062545595806</v>
      </c>
      <c r="V50" s="186">
        <v>115.23428633326421</v>
      </c>
      <c r="W50" s="186">
        <v>118.60794721057036</v>
      </c>
      <c r="X50" s="186">
        <v>121.9816080878765</v>
      </c>
      <c r="Y50" s="186">
        <v>125.35526896518265</v>
      </c>
      <c r="Z50" s="217">
        <v>128.72892984248878</v>
      </c>
    </row>
    <row r="51" spans="13:26" x14ac:dyDescent="0.25">
      <c r="N51" s="264">
        <f t="shared" si="13"/>
        <v>147864756.11380008</v>
      </c>
      <c r="O51" s="186">
        <v>100.25354520758628</v>
      </c>
      <c r="P51" s="186">
        <v>103.96457217262305</v>
      </c>
      <c r="Q51" s="186">
        <v>107.6755991376598</v>
      </c>
      <c r="R51" s="186">
        <v>111.38662610269657</v>
      </c>
      <c r="S51" s="186">
        <v>115.09765306773332</v>
      </c>
      <c r="T51" s="186">
        <v>118.80868003277007</v>
      </c>
      <c r="U51" s="186">
        <v>122.51970699780684</v>
      </c>
      <c r="V51" s="186">
        <v>126.23073396284359</v>
      </c>
      <c r="W51" s="186">
        <v>129.94176092788035</v>
      </c>
      <c r="X51" s="186">
        <v>133.6527878929171</v>
      </c>
      <c r="Y51" s="186">
        <v>137.36381485795386</v>
      </c>
      <c r="Z51" s="217">
        <v>141.07484182299061</v>
      </c>
    </row>
    <row r="52" spans="13:26" x14ac:dyDescent="0.25">
      <c r="N52" s="264">
        <f t="shared" si="13"/>
        <v>162651231.72518009</v>
      </c>
      <c r="O52" s="186">
        <v>109.75191872459789</v>
      </c>
      <c r="P52" s="186">
        <v>113.83404838613831</v>
      </c>
      <c r="Q52" s="186">
        <v>117.91617804767876</v>
      </c>
      <c r="R52" s="186">
        <v>121.99830770921918</v>
      </c>
      <c r="S52" s="186">
        <v>126.08043737075963</v>
      </c>
      <c r="T52" s="186">
        <v>130.16256703230005</v>
      </c>
      <c r="U52" s="186">
        <v>134.2446966938405</v>
      </c>
      <c r="V52" s="186">
        <v>138.32682635538092</v>
      </c>
      <c r="W52" s="186">
        <v>142.40895601692134</v>
      </c>
      <c r="X52" s="186">
        <v>146.49108567846179</v>
      </c>
      <c r="Y52" s="186">
        <v>150.57321534000221</v>
      </c>
      <c r="Z52" s="217">
        <v>154.65534500154266</v>
      </c>
    </row>
    <row r="53" spans="13:26" x14ac:dyDescent="0.25">
      <c r="N53" s="264">
        <f t="shared" si="13"/>
        <v>178916354.8976981</v>
      </c>
      <c r="O53" s="186">
        <v>120.20012959331062</v>
      </c>
      <c r="P53" s="186">
        <v>124.69047222100509</v>
      </c>
      <c r="Q53" s="186">
        <v>129.18081484869958</v>
      </c>
      <c r="R53" s="186">
        <v>133.67115747639406</v>
      </c>
      <c r="S53" s="186">
        <v>138.16150010408853</v>
      </c>
      <c r="T53" s="186">
        <v>142.65184273178301</v>
      </c>
      <c r="U53" s="186">
        <v>147.14218535947748</v>
      </c>
      <c r="V53" s="186">
        <v>151.63252798717195</v>
      </c>
      <c r="W53" s="186">
        <v>156.12287061486646</v>
      </c>
      <c r="X53" s="186">
        <v>160.6132132425609</v>
      </c>
      <c r="Y53" s="186">
        <v>165.10355587025541</v>
      </c>
      <c r="Z53" s="217">
        <v>169.59389849794988</v>
      </c>
    </row>
    <row r="54" spans="13:26" x14ac:dyDescent="0.25">
      <c r="N54" s="264">
        <f t="shared" si="13"/>
        <v>196807990.38746792</v>
      </c>
      <c r="O54" s="186">
        <v>131.69316154889464</v>
      </c>
      <c r="P54" s="186">
        <v>136.63253843935854</v>
      </c>
      <c r="Q54" s="186">
        <v>141.57191532982247</v>
      </c>
      <c r="R54" s="186">
        <v>146.51129222028644</v>
      </c>
      <c r="S54" s="186">
        <v>151.45066911075034</v>
      </c>
      <c r="T54" s="186">
        <v>156.39004600121427</v>
      </c>
      <c r="U54" s="186">
        <v>161.32942289167818</v>
      </c>
      <c r="V54" s="186">
        <v>166.26879978214211</v>
      </c>
      <c r="W54" s="186">
        <v>171.20817667260602</v>
      </c>
      <c r="X54" s="186">
        <v>176.14755356306998</v>
      </c>
      <c r="Y54" s="186">
        <v>181.08693045353391</v>
      </c>
      <c r="Z54" s="217">
        <v>186.02630734399781</v>
      </c>
    </row>
    <row r="55" spans="13:26" x14ac:dyDescent="0.25">
      <c r="N55" s="264">
        <f t="shared" si="13"/>
        <v>216488789.42621472</v>
      </c>
      <c r="O55" s="186">
        <v>144.33549670003708</v>
      </c>
      <c r="P55" s="186">
        <v>149.76881127954738</v>
      </c>
      <c r="Q55" s="186">
        <v>155.2021258590577</v>
      </c>
      <c r="R55" s="186">
        <v>160.635440438568</v>
      </c>
      <c r="S55" s="186">
        <v>166.06875501807835</v>
      </c>
      <c r="T55" s="186">
        <v>171.50206959758864</v>
      </c>
      <c r="U55" s="186">
        <v>176.93538417709897</v>
      </c>
      <c r="V55" s="186">
        <v>182.36869875660929</v>
      </c>
      <c r="W55" s="186">
        <v>187.80201333611961</v>
      </c>
      <c r="X55" s="186">
        <v>193.23532791562991</v>
      </c>
      <c r="Y55" s="186">
        <v>198.66864249514023</v>
      </c>
      <c r="Z55" s="217">
        <v>204.10195707465056</v>
      </c>
    </row>
    <row r="56" spans="13:26" x14ac:dyDescent="0.25">
      <c r="N56" s="264">
        <f t="shared" si="13"/>
        <v>238137668.36883622</v>
      </c>
      <c r="O56" s="186">
        <v>158.24206536629373</v>
      </c>
      <c r="P56" s="186">
        <v>164.21871140375509</v>
      </c>
      <c r="Q56" s="186">
        <v>170.19535744121646</v>
      </c>
      <c r="R56" s="186">
        <v>176.17200347867777</v>
      </c>
      <c r="S56" s="186">
        <v>182.14864951613913</v>
      </c>
      <c r="T56" s="186">
        <v>188.12529555360049</v>
      </c>
      <c r="U56" s="186">
        <v>194.10194159106183</v>
      </c>
      <c r="V56" s="186">
        <v>200.0785876285232</v>
      </c>
      <c r="W56" s="186">
        <v>206.05523366598453</v>
      </c>
      <c r="X56" s="186">
        <v>212.0318797034459</v>
      </c>
      <c r="Y56" s="186">
        <v>218.00852574090726</v>
      </c>
      <c r="Z56" s="217">
        <v>223.9851717783686</v>
      </c>
    </row>
    <row r="57" spans="13:26" x14ac:dyDescent="0.25">
      <c r="N57" s="264">
        <f t="shared" si="13"/>
        <v>261951435.20571986</v>
      </c>
      <c r="O57" s="186">
        <v>173.53929089917608</v>
      </c>
      <c r="P57" s="186">
        <v>180.11360154038357</v>
      </c>
      <c r="Q57" s="186">
        <v>186.68791218159106</v>
      </c>
      <c r="R57" s="186">
        <v>193.26222282279852</v>
      </c>
      <c r="S57" s="186">
        <v>199.83653346400601</v>
      </c>
      <c r="T57" s="186">
        <v>206.4108441052135</v>
      </c>
      <c r="U57" s="186">
        <v>212.98515474642099</v>
      </c>
      <c r="V57" s="186">
        <v>219.55946538762845</v>
      </c>
      <c r="W57" s="186">
        <v>226.13377602883597</v>
      </c>
      <c r="X57" s="186">
        <v>232.70808667004343</v>
      </c>
      <c r="Y57" s="186">
        <v>239.28239731125095</v>
      </c>
      <c r="Z57" s="217">
        <v>245.85670795245841</v>
      </c>
    </row>
    <row r="58" spans="13:26" x14ac:dyDescent="0.25">
      <c r="N58" s="264">
        <f t="shared" si="13"/>
        <v>288146578.72629189</v>
      </c>
      <c r="O58" s="186">
        <v>190.36623898534668</v>
      </c>
      <c r="P58" s="186">
        <v>197.59798069067492</v>
      </c>
      <c r="Q58" s="186">
        <v>204.82972239600312</v>
      </c>
      <c r="R58" s="186">
        <v>212.06146410133135</v>
      </c>
      <c r="S58" s="186">
        <v>219.29320580665964</v>
      </c>
      <c r="T58" s="186">
        <v>226.52494751198782</v>
      </c>
      <c r="U58" s="186">
        <v>233.75668921731611</v>
      </c>
      <c r="V58" s="186">
        <v>240.98843092264434</v>
      </c>
      <c r="W58" s="186">
        <v>248.22017262797254</v>
      </c>
      <c r="X58" s="186">
        <v>255.45191433330078</v>
      </c>
      <c r="Y58" s="186">
        <v>262.68365603862901</v>
      </c>
      <c r="Z58" s="217">
        <v>269.91539774395727</v>
      </c>
    </row>
    <row r="59" spans="13:26" ht="13" thickBot="1" x14ac:dyDescent="0.3">
      <c r="M59" s="186" t="s">
        <v>686</v>
      </c>
      <c r="N59" s="265">
        <f t="shared" si="13"/>
        <v>316961236.59892112</v>
      </c>
      <c r="O59" s="219">
        <v>208.8758818801343</v>
      </c>
      <c r="P59" s="219">
        <v>216.83079775599535</v>
      </c>
      <c r="Q59" s="219">
        <v>224.78571363185642</v>
      </c>
      <c r="R59" s="219">
        <v>232.74062950771747</v>
      </c>
      <c r="S59" s="219">
        <v>240.69554538357858</v>
      </c>
      <c r="T59" s="219">
        <v>248.65046125943962</v>
      </c>
      <c r="U59" s="219">
        <v>256.60537713530067</v>
      </c>
      <c r="V59" s="219">
        <v>264.56029301116172</v>
      </c>
      <c r="W59" s="219">
        <v>272.51520888702277</v>
      </c>
      <c r="X59" s="219">
        <v>280.47012476288381</v>
      </c>
      <c r="Y59" s="219">
        <v>288.42504063874486</v>
      </c>
      <c r="Z59" s="220">
        <v>296.37995651460596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3"/>
  <sheetViews>
    <sheetView topLeftCell="A3" zoomScale="85" zoomScaleNormal="85" workbookViewId="0">
      <selection activeCell="F43" sqref="F43"/>
    </sheetView>
  </sheetViews>
  <sheetFormatPr defaultRowHeight="14.5" x14ac:dyDescent="0.35"/>
  <cols>
    <col min="1" max="1" width="35.1796875" customWidth="1"/>
    <col min="2" max="2" width="0" hidden="1" customWidth="1"/>
    <col min="3" max="14" width="11.81640625" customWidth="1"/>
    <col min="17" max="17" width="20.453125" bestFit="1" customWidth="1"/>
  </cols>
  <sheetData>
    <row r="1" spans="1:14" x14ac:dyDescent="0.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0" x14ac:dyDescent="0.35">
      <c r="A2" s="57" t="s">
        <v>655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x14ac:dyDescent="0.35">
      <c r="A3" s="51" t="s">
        <v>654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x14ac:dyDescent="0.35">
      <c r="A4" s="43" t="s">
        <v>4</v>
      </c>
      <c r="B4" s="43"/>
      <c r="C4" s="44" t="s">
        <v>5</v>
      </c>
      <c r="D4" s="44" t="s">
        <v>6</v>
      </c>
      <c r="E4" s="44" t="s">
        <v>7</v>
      </c>
      <c r="F4" s="44" t="s">
        <v>8</v>
      </c>
      <c r="G4" s="44" t="s">
        <v>9</v>
      </c>
      <c r="H4" s="44" t="s">
        <v>10</v>
      </c>
      <c r="I4" s="44" t="s">
        <v>11</v>
      </c>
      <c r="J4" s="44" t="s">
        <v>12</v>
      </c>
      <c r="K4" s="44" t="s">
        <v>13</v>
      </c>
      <c r="L4" s="44" t="s">
        <v>14</v>
      </c>
      <c r="M4" s="44" t="s">
        <v>15</v>
      </c>
      <c r="N4" s="44" t="s">
        <v>16</v>
      </c>
    </row>
    <row r="5" spans="1:14" x14ac:dyDescent="0.35">
      <c r="A5" s="45" t="s">
        <v>17</v>
      </c>
      <c r="B5" s="45"/>
      <c r="C5" s="46" t="s">
        <v>18</v>
      </c>
      <c r="D5" s="46" t="s">
        <v>19</v>
      </c>
      <c r="E5" s="46" t="s">
        <v>20</v>
      </c>
      <c r="F5" s="46" t="s">
        <v>21</v>
      </c>
      <c r="G5" s="46" t="s">
        <v>22</v>
      </c>
      <c r="H5" s="46" t="s">
        <v>23</v>
      </c>
      <c r="I5" s="46" t="s">
        <v>24</v>
      </c>
      <c r="J5" s="46" t="s">
        <v>25</v>
      </c>
      <c r="K5" s="46" t="s">
        <v>26</v>
      </c>
      <c r="L5" s="46" t="s">
        <v>27</v>
      </c>
      <c r="M5" s="46" t="s">
        <v>28</v>
      </c>
      <c r="N5" s="46" t="s">
        <v>29</v>
      </c>
    </row>
    <row r="6" spans="1:14" x14ac:dyDescent="0.35">
      <c r="A6" s="49" t="s">
        <v>152</v>
      </c>
      <c r="B6" s="49" t="s">
        <v>153</v>
      </c>
      <c r="C6" s="63">
        <v>0.16500000000000001</v>
      </c>
      <c r="D6" s="63">
        <v>0.185</v>
      </c>
      <c r="E6" s="63">
        <v>0.2</v>
      </c>
      <c r="F6" s="63">
        <v>0.2</v>
      </c>
      <c r="G6" s="63">
        <v>0.20499999999999999</v>
      </c>
      <c r="H6" s="63">
        <v>0.22</v>
      </c>
      <c r="I6" s="63">
        <v>0.25</v>
      </c>
      <c r="J6" s="63">
        <v>0.26500000000000001</v>
      </c>
      <c r="K6" s="63">
        <v>0.28999999999999998</v>
      </c>
      <c r="L6" s="66">
        <v>0.30499999999999999</v>
      </c>
      <c r="M6" s="63">
        <v>0.29499999999999998</v>
      </c>
      <c r="N6" s="63">
        <v>0.32800000000000001</v>
      </c>
    </row>
    <row r="7" spans="1:14" x14ac:dyDescent="0.35">
      <c r="A7" s="49" t="s">
        <v>651</v>
      </c>
      <c r="B7" s="49" t="s">
        <v>650</v>
      </c>
      <c r="C7" s="63">
        <v>0.366504</v>
      </c>
      <c r="D7" s="63">
        <v>0.63739400000000002</v>
      </c>
      <c r="E7" s="63">
        <v>0.568666</v>
      </c>
      <c r="F7" s="63">
        <v>0.61457399999999995</v>
      </c>
      <c r="G7" s="63">
        <v>0.61446100000000003</v>
      </c>
      <c r="H7" s="63">
        <v>0.53774299999999997</v>
      </c>
      <c r="I7" s="63">
        <v>0.49504999999999999</v>
      </c>
      <c r="J7" s="63">
        <v>0.49746600000000002</v>
      </c>
      <c r="K7" s="63">
        <v>0.46836499999999998</v>
      </c>
      <c r="L7" s="66">
        <v>0.53719008264462798</v>
      </c>
      <c r="M7" s="63">
        <v>0.507920110192837</v>
      </c>
      <c r="N7" s="63">
        <v>0.56473829201101899</v>
      </c>
    </row>
    <row r="8" spans="1:14" x14ac:dyDescent="0.35">
      <c r="A8" s="49" t="s">
        <v>649</v>
      </c>
      <c r="B8" s="49" t="s">
        <v>648</v>
      </c>
      <c r="C8" s="63">
        <v>9.640136</v>
      </c>
      <c r="D8" s="63">
        <v>9.6939080000000004</v>
      </c>
      <c r="E8" s="63">
        <v>10.799685</v>
      </c>
      <c r="F8" s="63">
        <v>10.787782</v>
      </c>
      <c r="G8" s="63">
        <v>11.849337</v>
      </c>
      <c r="H8" s="63">
        <v>9.9317980000000006</v>
      </c>
      <c r="I8" s="63">
        <v>11.387822999999999</v>
      </c>
      <c r="J8" s="63">
        <v>11.646131</v>
      </c>
      <c r="K8" s="63">
        <v>16.162420000000001</v>
      </c>
      <c r="L8" s="66">
        <v>19.488108108108101</v>
      </c>
      <c r="M8" s="63">
        <v>10.6459761818838</v>
      </c>
      <c r="N8" s="63">
        <v>10.8143752060666</v>
      </c>
    </row>
    <row r="9" spans="1:14" x14ac:dyDescent="0.35">
      <c r="A9" s="49" t="s">
        <v>647</v>
      </c>
      <c r="B9" s="49" t="s">
        <v>646</v>
      </c>
      <c r="C9" s="63">
        <v>90.359864000000002</v>
      </c>
      <c r="D9" s="63">
        <v>90.306092000000007</v>
      </c>
      <c r="E9" s="63">
        <v>89.200315000000003</v>
      </c>
      <c r="F9" s="63">
        <v>89.212217999999993</v>
      </c>
      <c r="G9" s="63">
        <v>88.150662999999994</v>
      </c>
      <c r="H9" s="63">
        <v>90.068201999999999</v>
      </c>
      <c r="I9" s="63">
        <v>88.612177000000003</v>
      </c>
      <c r="J9" s="63">
        <v>88.353869000000003</v>
      </c>
      <c r="K9" s="63">
        <v>83.837580000000003</v>
      </c>
      <c r="L9" s="66">
        <v>80.511891891891906</v>
      </c>
      <c r="M9" s="63"/>
      <c r="N9" s="63"/>
    </row>
    <row r="10" spans="1:14" x14ac:dyDescent="0.35">
      <c r="A10" s="49" t="s">
        <v>645</v>
      </c>
      <c r="B10" s="49" t="s">
        <v>644</v>
      </c>
      <c r="C10" s="63">
        <v>18.613583999999999</v>
      </c>
      <c r="D10" s="63">
        <v>18.291542</v>
      </c>
      <c r="E10" s="63">
        <v>16.039290999999999</v>
      </c>
      <c r="F10" s="63">
        <v>14.474119999999999</v>
      </c>
      <c r="G10" s="63">
        <v>13.262235</v>
      </c>
      <c r="H10" s="63">
        <v>15.490778000000001</v>
      </c>
      <c r="I10" s="63">
        <v>13.204402999999999</v>
      </c>
      <c r="J10" s="63">
        <v>13.296150000000001</v>
      </c>
      <c r="K10" s="63">
        <v>10.782736</v>
      </c>
      <c r="L10" s="66">
        <v>7.1817172116488797</v>
      </c>
      <c r="M10" s="63">
        <v>9.9280000000000008</v>
      </c>
      <c r="N10" s="63">
        <v>7.7380000000000004</v>
      </c>
    </row>
    <row r="11" spans="1:14" x14ac:dyDescent="0.35">
      <c r="A11" s="49" t="s">
        <v>643</v>
      </c>
      <c r="B11" s="49" t="s">
        <v>642</v>
      </c>
      <c r="C11" s="63">
        <v>10.692128</v>
      </c>
      <c r="D11" s="63">
        <v>10.311318</v>
      </c>
      <c r="E11" s="63">
        <v>9.268084</v>
      </c>
      <c r="F11" s="63">
        <v>8.3741850000000007</v>
      </c>
      <c r="G11" s="63">
        <v>6.1028169999999999</v>
      </c>
      <c r="H11" s="63">
        <v>6.4601740000000003</v>
      </c>
      <c r="I11" s="63">
        <v>6.2324630000000001</v>
      </c>
      <c r="J11" s="63">
        <v>6.6399800000000004</v>
      </c>
      <c r="K11" s="63">
        <v>5.551749</v>
      </c>
      <c r="L11" s="66">
        <v>4.6653540899808004</v>
      </c>
      <c r="M11" s="63">
        <v>7.55</v>
      </c>
      <c r="N11" s="63">
        <v>5.99</v>
      </c>
    </row>
    <row r="12" spans="1:14" x14ac:dyDescent="0.35">
      <c r="A12" s="56" t="s">
        <v>164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</row>
    <row r="14" spans="1:14" x14ac:dyDescent="0.3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20" x14ac:dyDescent="0.35">
      <c r="A15" s="57" t="s">
        <v>653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14" x14ac:dyDescent="0.35">
      <c r="A16" s="51" t="s">
        <v>652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1:17" x14ac:dyDescent="0.35">
      <c r="A17" s="43" t="s">
        <v>4</v>
      </c>
      <c r="B17" s="43"/>
      <c r="C17" s="44" t="s">
        <v>5</v>
      </c>
      <c r="D17" s="44" t="s">
        <v>6</v>
      </c>
      <c r="E17" s="44" t="s">
        <v>7</v>
      </c>
      <c r="F17" s="44" t="s">
        <v>8</v>
      </c>
      <c r="G17" s="44" t="s">
        <v>9</v>
      </c>
      <c r="H17" s="44" t="s">
        <v>10</v>
      </c>
      <c r="I17" s="44" t="s">
        <v>11</v>
      </c>
      <c r="J17" s="44" t="s">
        <v>12</v>
      </c>
      <c r="K17" s="44" t="s">
        <v>13</v>
      </c>
      <c r="L17" s="44" t="s">
        <v>14</v>
      </c>
      <c r="M17" s="44" t="s">
        <v>15</v>
      </c>
      <c r="N17" s="44" t="s">
        <v>16</v>
      </c>
    </row>
    <row r="18" spans="1:17" x14ac:dyDescent="0.35">
      <c r="A18" s="45" t="s">
        <v>17</v>
      </c>
      <c r="B18" s="45"/>
      <c r="C18" s="46" t="s">
        <v>18</v>
      </c>
      <c r="D18" s="46" t="s">
        <v>19</v>
      </c>
      <c r="E18" s="46" t="s">
        <v>20</v>
      </c>
      <c r="F18" s="46" t="s">
        <v>21</v>
      </c>
      <c r="G18" s="46" t="s">
        <v>22</v>
      </c>
      <c r="H18" s="46" t="s">
        <v>23</v>
      </c>
      <c r="I18" s="46" t="s">
        <v>24</v>
      </c>
      <c r="J18" s="46" t="s">
        <v>25</v>
      </c>
      <c r="K18" s="46" t="s">
        <v>26</v>
      </c>
      <c r="L18" s="46" t="s">
        <v>27</v>
      </c>
      <c r="M18" s="46" t="s">
        <v>28</v>
      </c>
      <c r="N18" s="46" t="s">
        <v>29</v>
      </c>
    </row>
    <row r="19" spans="1:17" x14ac:dyDescent="0.35">
      <c r="A19" s="49" t="s">
        <v>152</v>
      </c>
      <c r="B19" s="49" t="s">
        <v>153</v>
      </c>
      <c r="C19" s="63">
        <v>5.5E-2</v>
      </c>
      <c r="D19" s="63">
        <v>0.06</v>
      </c>
      <c r="E19" s="63">
        <v>0.06</v>
      </c>
      <c r="F19" s="63">
        <v>0.08</v>
      </c>
      <c r="G19" s="63">
        <v>0.09</v>
      </c>
      <c r="H19" s="63">
        <v>0.1</v>
      </c>
      <c r="I19" s="63">
        <v>0.1</v>
      </c>
      <c r="J19" s="63">
        <v>0.4</v>
      </c>
      <c r="K19" s="63">
        <v>0.54</v>
      </c>
      <c r="L19" s="66">
        <v>0.57999999999999996</v>
      </c>
      <c r="M19" s="63">
        <v>0.58199999999999996</v>
      </c>
      <c r="N19" s="63">
        <v>0.56599999999999995</v>
      </c>
    </row>
    <row r="20" spans="1:17" x14ac:dyDescent="0.35">
      <c r="A20" s="49" t="s">
        <v>651</v>
      </c>
      <c r="B20" s="49" t="s">
        <v>650</v>
      </c>
      <c r="C20" s="63">
        <v>0.15939999999999999</v>
      </c>
      <c r="D20" s="63">
        <v>0.27036100000000002</v>
      </c>
      <c r="E20" s="63">
        <v>0.20352600000000001</v>
      </c>
      <c r="F20" s="63">
        <v>0.237756</v>
      </c>
      <c r="G20" s="63">
        <v>0.25524200000000002</v>
      </c>
      <c r="H20" s="63">
        <v>0.23130899999999999</v>
      </c>
      <c r="I20" s="63">
        <v>0.16919899999999999</v>
      </c>
      <c r="J20" s="63">
        <v>0.61575400000000002</v>
      </c>
      <c r="K20" s="63">
        <v>0.76709700000000003</v>
      </c>
      <c r="L20" s="66">
        <v>0.68857996622060502</v>
      </c>
      <c r="M20" s="63">
        <v>0.75613875535923103</v>
      </c>
      <c r="N20" s="63">
        <v>0.73535143562426897</v>
      </c>
    </row>
    <row r="21" spans="1:17" x14ac:dyDescent="0.35">
      <c r="A21" s="49" t="s">
        <v>649</v>
      </c>
      <c r="B21" s="49" t="s">
        <v>648</v>
      </c>
      <c r="C21" s="63">
        <v>2.8233160000000002</v>
      </c>
      <c r="D21" s="63">
        <v>2.9036200000000001</v>
      </c>
      <c r="E21" s="63">
        <v>3.6207220000000002</v>
      </c>
      <c r="F21" s="63">
        <v>3.0413239999999999</v>
      </c>
      <c r="G21" s="63">
        <v>3.1445059999999998</v>
      </c>
      <c r="H21" s="63">
        <v>3.0156999999999998</v>
      </c>
      <c r="I21" s="63">
        <v>2.58256</v>
      </c>
      <c r="J21" s="63">
        <v>11.037710000000001</v>
      </c>
      <c r="K21" s="63">
        <v>14.484165000000001</v>
      </c>
      <c r="L21" s="66">
        <v>21.491554893194198</v>
      </c>
      <c r="M21" s="63">
        <v>16.1936560934891</v>
      </c>
      <c r="N21" s="63">
        <v>14.4057011962331</v>
      </c>
    </row>
    <row r="22" spans="1:17" x14ac:dyDescent="0.35">
      <c r="A22" s="49" t="s">
        <v>647</v>
      </c>
      <c r="B22" s="49" t="s">
        <v>646</v>
      </c>
      <c r="C22" s="63">
        <v>97.176683999999995</v>
      </c>
      <c r="D22" s="63">
        <v>97.096379999999996</v>
      </c>
      <c r="E22" s="63">
        <v>96.379277999999999</v>
      </c>
      <c r="F22" s="63">
        <v>96.958675999999997</v>
      </c>
      <c r="G22" s="63">
        <v>96.855493999999993</v>
      </c>
      <c r="H22" s="63">
        <v>96.984300000000005</v>
      </c>
      <c r="I22" s="63">
        <v>97.417439999999999</v>
      </c>
      <c r="J22" s="63">
        <v>88.962289999999996</v>
      </c>
      <c r="K22" s="63">
        <v>85.515834999999996</v>
      </c>
      <c r="L22" s="66">
        <v>78.508445106805794</v>
      </c>
      <c r="M22" s="63"/>
      <c r="N22" s="63"/>
    </row>
    <row r="23" spans="1:17" x14ac:dyDescent="0.35">
      <c r="A23" s="49" t="s">
        <v>645</v>
      </c>
      <c r="B23" s="49" t="s">
        <v>644</v>
      </c>
      <c r="C23" s="63">
        <v>17.417338999999998</v>
      </c>
      <c r="D23" s="63">
        <v>13.947428</v>
      </c>
      <c r="E23" s="63">
        <v>10.74414</v>
      </c>
      <c r="F23" s="63">
        <v>14.150876999999999</v>
      </c>
      <c r="G23" s="63">
        <v>14.190480000000001</v>
      </c>
      <c r="H23" s="63">
        <v>13.319122999999999</v>
      </c>
      <c r="I23" s="63">
        <v>13.018758</v>
      </c>
      <c r="J23" s="63">
        <v>11.3558</v>
      </c>
      <c r="K23" s="63">
        <v>14.266047</v>
      </c>
      <c r="L23" s="66">
        <v>10.775673101634199</v>
      </c>
      <c r="M23" s="63">
        <v>11.08</v>
      </c>
      <c r="N23" s="63">
        <v>11.4</v>
      </c>
    </row>
    <row r="24" spans="1:17" x14ac:dyDescent="0.35">
      <c r="A24" s="49" t="s">
        <v>643</v>
      </c>
      <c r="B24" s="49" t="s">
        <v>642</v>
      </c>
      <c r="C24" s="63">
        <v>9.0315139999999996</v>
      </c>
      <c r="D24" s="63">
        <v>7.53749</v>
      </c>
      <c r="E24" s="63">
        <v>6.2110659999999998</v>
      </c>
      <c r="F24" s="63">
        <v>8.5763719999999992</v>
      </c>
      <c r="G24" s="63">
        <v>8.3281829999999992</v>
      </c>
      <c r="H24" s="63">
        <v>7.6075150000000002</v>
      </c>
      <c r="I24" s="63">
        <v>7.9718159999999996</v>
      </c>
      <c r="J24" s="63">
        <v>7.2516290000000003</v>
      </c>
      <c r="K24" s="63">
        <v>7.8799349999999997</v>
      </c>
      <c r="L24" s="66">
        <v>5.4838504088768403</v>
      </c>
      <c r="M24" s="63">
        <v>5.66</v>
      </c>
      <c r="N24" s="63">
        <v>5.97</v>
      </c>
    </row>
    <row r="25" spans="1:17" x14ac:dyDescent="0.35">
      <c r="A25" s="56" t="s">
        <v>164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</row>
    <row r="27" spans="1:17" ht="15" thickBot="1" x14ac:dyDescent="0.4">
      <c r="M27" t="s">
        <v>506</v>
      </c>
      <c r="N27" t="s">
        <v>507</v>
      </c>
    </row>
    <row r="28" spans="1:17" x14ac:dyDescent="0.35">
      <c r="C28" t="s">
        <v>657</v>
      </c>
      <c r="D28" s="63">
        <v>5.5E-2</v>
      </c>
      <c r="E28" s="63">
        <v>0.06</v>
      </c>
      <c r="F28" s="63">
        <v>0.06</v>
      </c>
      <c r="G28" s="192">
        <v>0.08</v>
      </c>
      <c r="H28" s="193">
        <v>0.09</v>
      </c>
      <c r="I28" s="194">
        <v>0.1</v>
      </c>
      <c r="J28" s="194">
        <v>0.1</v>
      </c>
      <c r="K28" s="194">
        <v>0.4</v>
      </c>
      <c r="L28" s="195">
        <v>0.54</v>
      </c>
      <c r="P28" t="s">
        <v>658</v>
      </c>
    </row>
    <row r="29" spans="1:17" x14ac:dyDescent="0.35">
      <c r="H29" s="29"/>
      <c r="I29" s="198">
        <f>(I28-H28)/H28</f>
        <v>0.11111111111111122</v>
      </c>
      <c r="J29" s="198">
        <f t="shared" ref="J29:L29" si="0">(J28-I28)/I28</f>
        <v>0</v>
      </c>
      <c r="K29" s="198">
        <f t="shared" si="0"/>
        <v>3.0000000000000004</v>
      </c>
      <c r="L29" s="198">
        <f t="shared" si="0"/>
        <v>0.35000000000000003</v>
      </c>
      <c r="M29" s="199">
        <f>(L28/H28)^(1/5)-1</f>
        <v>0.43096908110525556</v>
      </c>
      <c r="N29" s="200">
        <f>AVERAGE(I29:L29)</f>
        <v>0.86527777777777792</v>
      </c>
      <c r="P29" s="201">
        <v>0.7</v>
      </c>
      <c r="Q29" s="80">
        <f>M29*P29</f>
        <v>0.30167835677367888</v>
      </c>
    </row>
    <row r="30" spans="1:17" x14ac:dyDescent="0.35">
      <c r="C30" t="s">
        <v>656</v>
      </c>
      <c r="D30" s="63">
        <v>0.16500000000000001</v>
      </c>
      <c r="E30" s="63">
        <v>0.185</v>
      </c>
      <c r="F30" s="63">
        <v>0.2</v>
      </c>
      <c r="G30" s="192">
        <v>0.2</v>
      </c>
      <c r="H30" s="196">
        <v>0.20499999999999999</v>
      </c>
      <c r="I30" s="63">
        <v>0.22</v>
      </c>
      <c r="J30" s="63">
        <v>0.25</v>
      </c>
      <c r="K30" s="63">
        <v>0.26500000000000001</v>
      </c>
      <c r="L30" s="197">
        <v>0.28999999999999998</v>
      </c>
      <c r="P30" s="201">
        <v>0.3</v>
      </c>
      <c r="Q30" s="80">
        <f>M31*P30</f>
        <v>2.1551161068904444E-2</v>
      </c>
    </row>
    <row r="31" spans="1:17" ht="15" thickBot="1" x14ac:dyDescent="0.4">
      <c r="H31" s="14"/>
      <c r="I31" s="198">
        <f>(I30-H30)/H30</f>
        <v>7.3170731707317138E-2</v>
      </c>
      <c r="J31" s="198">
        <f t="shared" ref="J31" si="1">(J30-I30)/I30</f>
        <v>0.13636363636363635</v>
      </c>
      <c r="K31" s="198">
        <f t="shared" ref="K31" si="2">(K30-J30)/J30</f>
        <v>6.0000000000000053E-2</v>
      </c>
      <c r="L31" s="198">
        <f t="shared" ref="L31" si="3">(L30-K30)/K30</f>
        <v>9.4339622641509302E-2</v>
      </c>
      <c r="M31" s="199">
        <f>(L30/H30)^(1/5)-1</f>
        <v>7.1837203563014818E-2</v>
      </c>
      <c r="N31" s="200">
        <f>AVERAGE(I31:L31)</f>
        <v>9.0968497678115712E-2</v>
      </c>
      <c r="Q31" s="3">
        <f>SUM(Q29:Q30)</f>
        <v>0.3232295178425833</v>
      </c>
    </row>
    <row r="33" spans="7:22" x14ac:dyDescent="0.35">
      <c r="R33">
        <v>2017</v>
      </c>
      <c r="S33">
        <v>2018</v>
      </c>
      <c r="T33">
        <v>2019</v>
      </c>
      <c r="U33">
        <v>2020</v>
      </c>
      <c r="V33">
        <v>2021</v>
      </c>
    </row>
    <row r="34" spans="7:22" x14ac:dyDescent="0.35">
      <c r="R34">
        <v>0.25</v>
      </c>
      <c r="S34">
        <f>R34*(1+$Q$31)</f>
        <v>0.33080737946064581</v>
      </c>
      <c r="T34">
        <f>S34*(1+$Q$31)</f>
        <v>0.43773408922247886</v>
      </c>
      <c r="U34">
        <f t="shared" ref="U34:V34" si="4">T34*(1+$Q$31)</f>
        <v>0.57922266782512299</v>
      </c>
      <c r="V34">
        <f t="shared" si="4"/>
        <v>0.76644453146973224</v>
      </c>
    </row>
    <row r="36" spans="7:22" x14ac:dyDescent="0.35">
      <c r="Q36" t="s">
        <v>660</v>
      </c>
      <c r="R36" s="150">
        <f>R34</f>
        <v>0.25</v>
      </c>
    </row>
    <row r="37" spans="7:22" x14ac:dyDescent="0.35">
      <c r="G37" s="294" t="s">
        <v>694</v>
      </c>
      <c r="H37" s="294"/>
      <c r="I37" s="294"/>
      <c r="J37" s="294"/>
      <c r="Q37" t="s">
        <v>659</v>
      </c>
      <c r="R37" s="3">
        <f>Q31</f>
        <v>0.3232295178425833</v>
      </c>
    </row>
    <row r="38" spans="7:22" x14ac:dyDescent="0.35">
      <c r="G38" s="294"/>
      <c r="H38" s="294"/>
      <c r="I38" s="294"/>
      <c r="J38" s="294"/>
      <c r="Q38" t="s">
        <v>661</v>
      </c>
      <c r="R38" s="3">
        <v>0.01</v>
      </c>
    </row>
    <row r="39" spans="7:22" x14ac:dyDescent="0.35">
      <c r="G39" s="294"/>
      <c r="H39" s="294"/>
      <c r="I39" s="294"/>
      <c r="J39" s="294"/>
      <c r="Q39" t="s">
        <v>474</v>
      </c>
      <c r="R39" s="3">
        <f>DCF!B23</f>
        <v>0.1048</v>
      </c>
    </row>
    <row r="40" spans="7:22" x14ac:dyDescent="0.35">
      <c r="G40" s="294"/>
      <c r="H40" s="294"/>
      <c r="I40" s="294"/>
      <c r="J40" s="294"/>
      <c r="Q40" t="s">
        <v>662</v>
      </c>
      <c r="R40" s="234">
        <f>R36*(1+R38)</f>
        <v>0.2525</v>
      </c>
    </row>
    <row r="41" spans="7:22" x14ac:dyDescent="0.35">
      <c r="Q41" t="s">
        <v>663</v>
      </c>
      <c r="R41">
        <f>R40/(R39-R38)</f>
        <v>2.6635021097046412</v>
      </c>
    </row>
    <row r="43" spans="7:22" x14ac:dyDescent="0.35">
      <c r="G43" t="s">
        <v>695</v>
      </c>
    </row>
  </sheetData>
  <mergeCells count="1">
    <mergeCell ref="G37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ALGN(IS)</vt:lpstr>
      <vt:lpstr>ALGN(BS_Annual)</vt:lpstr>
      <vt:lpstr>ALGN(CF)</vt:lpstr>
      <vt:lpstr>ALGN(BS)</vt:lpstr>
      <vt:lpstr>DCF</vt:lpstr>
      <vt:lpstr>Credit</vt:lpstr>
      <vt:lpstr>FRED Graph</vt:lpstr>
      <vt:lpstr>gg</vt:lpstr>
      <vt:lpstr>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prof.b.sinha@gmail.com</cp:lastModifiedBy>
  <dcterms:created xsi:type="dcterms:W3CDTF">2013-04-03T15:49:21Z</dcterms:created>
  <dcterms:modified xsi:type="dcterms:W3CDTF">2025-11-02T13:28:14Z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527370e3-36f7-495d-a410-14e7d73280fa</vt:lpwstr>
  </property>
</Properties>
</file>